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هرست استانداردها" sheetId="1" state="visible" r:id="rId1"/>
    <sheet xmlns:r="http://schemas.openxmlformats.org/officeDocument/2006/relationships" name="خلاصه" sheetId="2" state="visible" r:id="rId2"/>
  </sheets>
  <definedNames>
    <definedName name="_xlnm._FilterDatabase" localSheetId="0" hidden="1">'فهرست استانداردها'!$A$1:$Q$351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392B"/>
      <sz val="10"/>
    </font>
    <font>
      <name val="Arial"/>
      <b val="1"/>
      <sz val="12"/>
    </font>
    <font>
      <name val="Arial"/>
      <b val="1"/>
      <sz val="11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>
        <color rgb="00C9CED8"/>
      </left>
      <right style="thin">
        <color rgb="00C9CED8"/>
      </right>
      <top style="thin">
        <color rgb="00C9CED8"/>
      </top>
      <bottom style="thin">
        <color rgb="00C9CED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0" fontId="4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1"/>
  <sheetViews>
    <sheetView rightToLeft="1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17" customWidth="1" min="3" max="3"/>
    <col width="38" customWidth="1" min="4" max="4"/>
    <col width="40" customWidth="1" min="5" max="5"/>
    <col width="24" customWidth="1" min="6" max="6"/>
    <col width="8" customWidth="1" min="7" max="7"/>
    <col width="20" customWidth="1" min="8" max="8"/>
    <col width="34" customWidth="1" min="9" max="9"/>
    <col width="16" customWidth="1" min="10" max="10"/>
    <col width="9" customWidth="1" min="11" max="11"/>
    <col width="46" customWidth="1" min="12" max="12"/>
    <col width="40" customWidth="1" min="13" max="13"/>
    <col width="12" customWidth="1" min="14" max="14"/>
    <col width="10" customWidth="1" min="15" max="15"/>
    <col width="10" customWidth="1" min="16" max="16"/>
    <col width="12" customWidth="1" min="17" max="17"/>
  </cols>
  <sheetData>
    <row r="1" ht="32" customHeight="1">
      <c r="A1" s="1" t="inlineStr">
        <is>
          <t>ردیف</t>
        </is>
      </c>
      <c r="B1" s="1" t="inlineStr">
        <is>
          <t>خانواده</t>
        </is>
      </c>
      <c r="C1" s="1" t="inlineStr">
        <is>
          <t>استاندارد</t>
        </is>
      </c>
      <c r="D1" s="1" t="inlineStr">
        <is>
          <t>نام فارسی</t>
        </is>
      </c>
      <c r="E1" s="1" t="inlineStr">
        <is>
          <t>نام انگلیسی</t>
        </is>
      </c>
      <c r="F1" s="1" t="inlineStr">
        <is>
          <t>دسته</t>
        </is>
      </c>
      <c r="G1" s="1" t="inlineStr">
        <is>
          <t>اولویت</t>
        </is>
      </c>
      <c r="H1" s="1" t="inlineStr">
        <is>
          <t>استاندارد جاری</t>
        </is>
      </c>
      <c r="I1" s="1" t="inlineStr">
        <is>
          <t>معادل‌ها</t>
        </is>
      </c>
      <c r="J1" s="1" t="inlineStr">
        <is>
          <t>محدودهٔ سایز</t>
        </is>
      </c>
      <c r="K1" s="1" t="inlineStr">
        <is>
          <t>تعداد سایز</t>
        </is>
      </c>
      <c r="L1" s="1" t="inlineStr">
        <is>
          <t>کلاس / جنس</t>
        </is>
      </c>
      <c r="M1" s="1" t="inlineStr">
        <is>
          <t>نام بازاری</t>
        </is>
      </c>
      <c r="N1" s="1" t="inlineStr">
        <is>
          <t>تعداد کالای کددار</t>
        </is>
      </c>
      <c r="O1" s="1" t="inlineStr">
        <is>
          <t>عکس محصول</t>
        </is>
      </c>
      <c r="P1" s="1" t="inlineStr">
        <is>
          <t>نقشهٔ فنی</t>
        </is>
      </c>
      <c r="Q1" s="1" t="inlineStr">
        <is>
          <t>تصویر فهرست کاتالوگ</t>
        </is>
      </c>
    </row>
    <row r="2">
      <c r="A2" s="2" t="n">
        <v>1</v>
      </c>
      <c r="B2" s="2" t="inlineStr">
        <is>
          <t>DIN</t>
        </is>
      </c>
      <c r="C2" s="3" t="inlineStr">
        <is>
          <t>DIN 1</t>
        </is>
      </c>
      <c r="D2" s="4" t="inlineStr">
        <is>
          <t>پین مخروطی</t>
        </is>
      </c>
      <c r="E2" s="4" t="inlineStr">
        <is>
          <t>Taper Pins</t>
        </is>
      </c>
      <c r="F2" s="4" t="inlineStr">
        <is>
          <t>پین</t>
        </is>
      </c>
      <c r="G2" s="2" t="n">
        <v>2</v>
      </c>
      <c r="H2" s="4" t="inlineStr">
        <is>
          <t>DIN EN 22339</t>
        </is>
      </c>
      <c r="I2" s="4" t="inlineStr">
        <is>
          <t>ISO 2339، CSN 022153، PN 85020، UNI 7283، EU 22339</t>
        </is>
      </c>
      <c r="J2" s="4" t="inlineStr">
        <is>
          <t>2 – 16</t>
        </is>
      </c>
      <c r="K2" s="2" t="n">
        <v>9</v>
      </c>
      <c r="L2" s="4" t="inlineStr">
        <is>
          <t>فولاد ساده یا سخت‌کاری‌شده، استیل A1، استیل A2</t>
        </is>
      </c>
      <c r="M2" s="4" t="inlineStr">
        <is>
          <t>پین مخروطی ساده با نسبت مخروطی 1:50</t>
        </is>
      </c>
      <c r="N2" s="2" t="n">
        <v>0</v>
      </c>
      <c r="O2" s="2" t="inlineStr">
        <is>
          <t>دارد</t>
        </is>
      </c>
      <c r="P2" s="2" t="inlineStr">
        <is>
          <t>دارد</t>
        </is>
      </c>
      <c r="Q2" s="2" t="inlineStr">
        <is>
          <t>دارد</t>
        </is>
      </c>
    </row>
    <row r="3">
      <c r="A3" s="2" t="n">
        <v>2</v>
      </c>
      <c r="B3" s="2" t="inlineStr">
        <is>
          <t>DIN</t>
        </is>
      </c>
      <c r="C3" s="3" t="inlineStr">
        <is>
          <t>DIN 7</t>
        </is>
      </c>
      <c r="D3" s="4" t="inlineStr">
        <is>
          <t>پین استوانه‌ای (داول)</t>
        </is>
      </c>
      <c r="E3" s="4" t="inlineStr">
        <is>
          <t>Parallel pins (dowel pins)</t>
        </is>
      </c>
      <c r="F3" s="4" t="inlineStr">
        <is>
          <t>پین</t>
        </is>
      </c>
      <c r="G3" s="2" t="n">
        <v>2</v>
      </c>
      <c r="H3" s="4" t="inlineStr">
        <is>
          <t>DIN EN ISO 2338</t>
        </is>
      </c>
      <c r="I3" s="4" t="inlineStr">
        <is>
          <t>ISO 2338، CSN 022150، PN 85021، UNI 1707</t>
        </is>
      </c>
      <c r="J3" s="4" t="inlineStr">
        <is>
          <t>1 – 20</t>
        </is>
      </c>
      <c r="K3" s="2" t="n">
        <v>14</v>
      </c>
      <c r="L3" s="4" t="inlineStr">
        <is>
          <t>فولاد ساده یا سخت‌کاری‌شده، استیل A1، استیل A2</t>
        </is>
      </c>
      <c r="M3" s="4" t="inlineStr">
        <is>
          <t>پین استوانه‌ای ساده دقیق، پین موازی بدون رزوه</t>
        </is>
      </c>
      <c r="N3" s="2" t="n">
        <v>0</v>
      </c>
      <c r="O3" s="2" t="inlineStr">
        <is>
          <t>دارد</t>
        </is>
      </c>
      <c r="P3" s="2" t="inlineStr">
        <is>
          <t>دارد</t>
        </is>
      </c>
      <c r="Q3" s="2" t="inlineStr">
        <is>
          <t>دارد</t>
        </is>
      </c>
    </row>
    <row r="4">
      <c r="A4" s="2" t="n">
        <v>3</v>
      </c>
      <c r="B4" s="2" t="inlineStr">
        <is>
          <t>DIN</t>
        </is>
      </c>
      <c r="C4" s="3" t="inlineStr">
        <is>
          <t>DIN 39</t>
        </is>
      </c>
      <c r="D4" s="4" t="inlineStr">
        <is>
          <t>دستگیرهٔ ثابت</t>
        </is>
      </c>
      <c r="E4" s="4" t="inlineStr">
        <is>
          <t>Fixed handles</t>
        </is>
      </c>
      <c r="F4" s="4" t="inlineStr">
        <is>
          <t>سایر اتصالات و یراق</t>
        </is>
      </c>
      <c r="G4" s="2" t="n">
        <v>3</v>
      </c>
      <c r="H4" s="4" t="inlineStr">
        <is>
          <t>DIN 39</t>
        </is>
      </c>
      <c r="I4" s="4" t="inlineStr"/>
      <c r="J4" s="4" t="inlineStr">
        <is>
          <t>M6 – M16</t>
        </is>
      </c>
      <c r="K4" s="2" t="n">
        <v>5</v>
      </c>
      <c r="L4" s="4" t="inlineStr"/>
      <c r="M4" s="4" t="inlineStr"/>
      <c r="N4" s="2" t="n">
        <v>5</v>
      </c>
      <c r="O4" s="2" t="inlineStr">
        <is>
          <t>دارد</t>
        </is>
      </c>
      <c r="P4" s="2" t="inlineStr">
        <is>
          <t>دارد</t>
        </is>
      </c>
      <c r="Q4" s="2" t="inlineStr">
        <is>
          <t>دارد</t>
        </is>
      </c>
    </row>
    <row r="5">
      <c r="A5" s="2" t="n">
        <v>4</v>
      </c>
      <c r="B5" s="2" t="inlineStr">
        <is>
          <t>DIN</t>
        </is>
      </c>
      <c r="C5" s="3" t="inlineStr">
        <is>
          <t>DIN 84</t>
        </is>
      </c>
      <c r="D5" s="4" t="inlineStr">
        <is>
          <t>پیچ دوسو سر استوانه‌ای</t>
        </is>
      </c>
      <c r="E5" s="4" t="inlineStr">
        <is>
          <t>Slotted cheese head screws</t>
        </is>
      </c>
      <c r="F5" s="4" t="inlineStr">
        <is>
          <t>پیچ دوسو و چهارسو</t>
        </is>
      </c>
      <c r="G5" s="2" t="n">
        <v>1</v>
      </c>
      <c r="H5" s="4" t="inlineStr">
        <is>
          <t>DIN EN ISO 1207</t>
        </is>
      </c>
      <c r="I5" s="4" t="inlineStr">
        <is>
          <t>ISO 1207، CSN 021131، PN 82215، UNI 6107</t>
        </is>
      </c>
      <c r="J5" s="4" t="inlineStr">
        <is>
          <t>M1.6 – M10</t>
        </is>
      </c>
      <c r="K5" s="2" t="n">
        <v>10</v>
      </c>
      <c r="L5" s="4" t="inlineStr">
        <is>
          <t>فولاد 4.8، فولاد 5.8، استیل A2-70، استیل A4-70</t>
        </is>
      </c>
      <c r="M5" s="4" t="inlineStr"/>
      <c r="N5" s="2" t="n">
        <v>127</v>
      </c>
      <c r="O5" s="2" t="inlineStr">
        <is>
          <t>دارد</t>
        </is>
      </c>
      <c r="P5" s="2" t="inlineStr">
        <is>
          <t>دارد</t>
        </is>
      </c>
      <c r="Q5" s="2" t="inlineStr">
        <is>
          <t>دارد</t>
        </is>
      </c>
    </row>
    <row r="6">
      <c r="A6" s="2" t="n">
        <v>5</v>
      </c>
      <c r="B6" s="2" t="inlineStr">
        <is>
          <t>DIN</t>
        </is>
      </c>
      <c r="C6" s="3" t="inlineStr">
        <is>
          <t>DIN 85</t>
        </is>
      </c>
      <c r="D6" s="4" t="inlineStr">
        <is>
          <t>پیچ دوسو سر عدسی</t>
        </is>
      </c>
      <c r="E6" s="4" t="inlineStr">
        <is>
          <t>Slotted pan head screws</t>
        </is>
      </c>
      <c r="F6" s="4" t="inlineStr">
        <is>
          <t>پیچ دوسو و چهارسو</t>
        </is>
      </c>
      <c r="G6" s="2" t="n">
        <v>2</v>
      </c>
      <c r="H6" s="4" t="inlineStr">
        <is>
          <t>DIN EN ISO 1580</t>
        </is>
      </c>
      <c r="I6" s="4" t="inlineStr">
        <is>
          <t>ISO 1580، CSN 021137، PN 82219، UNI 6108</t>
        </is>
      </c>
      <c r="J6" s="4" t="inlineStr">
        <is>
          <t>M1.6 – M10</t>
        </is>
      </c>
      <c r="K6" s="2" t="n">
        <v>9</v>
      </c>
      <c r="L6" s="4" t="inlineStr">
        <is>
          <t>فولاد 4.8، فولاد 5.8، استیل A2-70، استیل A4-70</t>
        </is>
      </c>
      <c r="M6" s="4" t="inlineStr"/>
      <c r="N6" s="2" t="n">
        <v>117</v>
      </c>
      <c r="O6" s="2" t="inlineStr">
        <is>
          <t>دارد</t>
        </is>
      </c>
      <c r="P6" s="2" t="inlineStr">
        <is>
          <t>دارد</t>
        </is>
      </c>
      <c r="Q6" s="2" t="inlineStr">
        <is>
          <t>دارد</t>
        </is>
      </c>
    </row>
    <row r="7">
      <c r="A7" s="2" t="n">
        <v>6</v>
      </c>
      <c r="B7" s="2" t="inlineStr">
        <is>
          <t>DIN</t>
        </is>
      </c>
      <c r="C7" s="3" t="inlineStr">
        <is>
          <t>DIN 93</t>
        </is>
      </c>
      <c r="D7" s="4" t="inlineStr">
        <is>
          <t>واشر زبانه‌دار (قفلی)</t>
        </is>
      </c>
      <c r="E7" s="4" t="inlineStr">
        <is>
          <t>Tab washers with long tab</t>
        </is>
      </c>
      <c r="F7" s="4" t="inlineStr">
        <is>
          <t>واشر</t>
        </is>
      </c>
      <c r="G7" s="2" t="n">
        <v>3</v>
      </c>
      <c r="H7" s="4" t="inlineStr"/>
      <c r="I7" s="4" t="inlineStr">
        <is>
          <t>CSN 021751، PN 82021، UNI 6600</t>
        </is>
      </c>
      <c r="J7" s="4" t="inlineStr">
        <is>
          <t>M4 – M39</t>
        </is>
      </c>
      <c r="K7" s="2" t="n">
        <v>17</v>
      </c>
      <c r="L7" s="4" t="inlineStr">
        <is>
          <t>فولاد کربنی گالوانیزه، استیل A2، استیل A4</t>
        </is>
      </c>
      <c r="M7" s="4" t="inlineStr">
        <is>
          <t>واشر قفلی زبانه‌دار یکطرفه، واشر خاردار خم شونره</t>
        </is>
      </c>
      <c r="N7" s="2" t="n">
        <v>17</v>
      </c>
      <c r="O7" s="2" t="inlineStr">
        <is>
          <t>دارد</t>
        </is>
      </c>
      <c r="P7" s="2" t="inlineStr">
        <is>
          <t>دارد</t>
        </is>
      </c>
      <c r="Q7" s="2" t="inlineStr">
        <is>
          <t>دارد</t>
        </is>
      </c>
    </row>
    <row r="8">
      <c r="A8" s="2" t="n">
        <v>7</v>
      </c>
      <c r="B8" s="2" t="inlineStr">
        <is>
          <t>DIN</t>
        </is>
      </c>
      <c r="C8" s="3" t="inlineStr">
        <is>
          <t>DIN 94</t>
        </is>
      </c>
      <c r="D8" s="4" t="inlineStr">
        <is>
          <t>اشپیل (پین دوشاخه)</t>
        </is>
      </c>
      <c r="E8" s="4" t="inlineStr">
        <is>
          <t>Split pins</t>
        </is>
      </c>
      <c r="F8" s="4" t="inlineStr">
        <is>
          <t>پین</t>
        </is>
      </c>
      <c r="G8" s="2" t="n">
        <v>1</v>
      </c>
      <c r="H8" s="4" t="inlineStr">
        <is>
          <t>DIN EN ISO 1234</t>
        </is>
      </c>
      <c r="I8" s="4" t="inlineStr">
        <is>
          <t>ISO 1234، CSN 021781، PN 82001، UNI 1336</t>
        </is>
      </c>
      <c r="J8" s="4" t="inlineStr">
        <is>
          <t>0.6 – 20</t>
        </is>
      </c>
      <c r="K8" s="2" t="n">
        <v>16</v>
      </c>
      <c r="L8" s="4" t="inlineStr">
        <is>
          <t>فولاد کربنی ساده یا گالوانیزه، استیل A2، استیل A4</t>
        </is>
      </c>
      <c r="M8" s="4" t="inlineStr">
        <is>
          <t>پین اشپیل، اشپیل شکاف‌دار</t>
        </is>
      </c>
      <c r="N8" s="2" t="n">
        <v>0</v>
      </c>
      <c r="O8" s="2" t="inlineStr">
        <is>
          <t>دارد</t>
        </is>
      </c>
      <c r="P8" s="2" t="inlineStr">
        <is>
          <t>دارد</t>
        </is>
      </c>
      <c r="Q8" s="2" t="inlineStr">
        <is>
          <t>دارد</t>
        </is>
      </c>
    </row>
    <row r="9">
      <c r="A9" s="2" t="n">
        <v>8</v>
      </c>
      <c r="B9" s="2" t="inlineStr">
        <is>
          <t>DIN</t>
        </is>
      </c>
      <c r="C9" s="3" t="inlineStr">
        <is>
          <t>DIN 95</t>
        </is>
      </c>
      <c r="D9" s="4" t="inlineStr">
        <is>
          <t>پیچ چوب دوسو سرخزینه عدسی</t>
        </is>
      </c>
      <c r="E9" s="4" t="inlineStr">
        <is>
          <t>Slotted oval head wood screws</t>
        </is>
      </c>
      <c r="F9" s="4" t="inlineStr">
        <is>
          <t>پیچ خودکار، سرمته و چوب</t>
        </is>
      </c>
      <c r="G9" s="2" t="n">
        <v>3</v>
      </c>
      <c r="H9" s="4" t="inlineStr">
        <is>
          <t>DIN 95</t>
        </is>
      </c>
      <c r="I9" s="4" t="inlineStr">
        <is>
          <t>CSN 021815، PN 82504، UNI 703</t>
        </is>
      </c>
      <c r="J9" s="4" t="inlineStr">
        <is>
          <t>2.5 – 6</t>
        </is>
      </c>
      <c r="K9" s="2" t="n">
        <v>7</v>
      </c>
      <c r="L9" s="4" t="inlineStr">
        <is>
          <t>فولاد، استیل A2، استیل A4</t>
        </is>
      </c>
      <c r="M9" s="4" t="inlineStr"/>
      <c r="N9" s="2" t="n">
        <v>0</v>
      </c>
      <c r="O9" s="2" t="inlineStr">
        <is>
          <t>دارد</t>
        </is>
      </c>
      <c r="P9" s="2" t="inlineStr">
        <is>
          <t>دارد</t>
        </is>
      </c>
      <c r="Q9" s="2" t="inlineStr">
        <is>
          <t>دارد</t>
        </is>
      </c>
    </row>
    <row r="10">
      <c r="A10" s="2" t="n">
        <v>9</v>
      </c>
      <c r="B10" s="2" t="inlineStr">
        <is>
          <t>DIN</t>
        </is>
      </c>
      <c r="C10" s="3" t="inlineStr">
        <is>
          <t>DIN 96</t>
        </is>
      </c>
      <c r="D10" s="4" t="inlineStr">
        <is>
          <t>پیچ چوب دوسو سرگرد</t>
        </is>
      </c>
      <c r="E10" s="4" t="inlineStr">
        <is>
          <t>Slotted Round Head Wood Screws</t>
        </is>
      </c>
      <c r="F10" s="4" t="inlineStr">
        <is>
          <t>پیچ خودکار، سرمته و چوب</t>
        </is>
      </c>
      <c r="G10" s="2" t="n">
        <v>3</v>
      </c>
      <c r="H10" s="4" t="inlineStr">
        <is>
          <t>DIN 96</t>
        </is>
      </c>
      <c r="I10" s="4" t="inlineStr">
        <is>
          <t>CSN 021812، PN 82505، UNI 701</t>
        </is>
      </c>
      <c r="J10" s="4" t="inlineStr">
        <is>
          <t>2 – 8</t>
        </is>
      </c>
      <c r="K10" s="2" t="n">
        <v>10</v>
      </c>
      <c r="L10" s="4" t="inlineStr">
        <is>
          <t>فولاد، استیل A2، استیل A4</t>
        </is>
      </c>
      <c r="M10" s="4" t="inlineStr"/>
      <c r="N10" s="2" t="n">
        <v>0</v>
      </c>
      <c r="O10" s="2" t="inlineStr">
        <is>
          <t>دارد</t>
        </is>
      </c>
      <c r="P10" s="2" t="inlineStr">
        <is>
          <t>دارد</t>
        </is>
      </c>
      <c r="Q10" s="2" t="inlineStr">
        <is>
          <t>دارد</t>
        </is>
      </c>
    </row>
    <row r="11">
      <c r="A11" s="2" t="n">
        <v>10</v>
      </c>
      <c r="B11" s="2" t="inlineStr">
        <is>
          <t>DIN</t>
        </is>
      </c>
      <c r="C11" s="3" t="inlineStr">
        <is>
          <t>DIN 97</t>
        </is>
      </c>
      <c r="D11" s="4" t="inlineStr">
        <is>
          <t>پیچ چوب دوسو سرخزینه</t>
        </is>
      </c>
      <c r="E11" s="4" t="inlineStr">
        <is>
          <t>Slotted countersunk head wood screws</t>
        </is>
      </c>
      <c r="F11" s="4" t="inlineStr">
        <is>
          <t>پیچ خودکار، سرمته و چوب</t>
        </is>
      </c>
      <c r="G11" s="2" t="n">
        <v>1</v>
      </c>
      <c r="H11" s="4" t="inlineStr">
        <is>
          <t>DIN 97</t>
        </is>
      </c>
      <c r="I11" s="4" t="inlineStr">
        <is>
          <t>CSN 021814، PN 82503، UNI 702</t>
        </is>
      </c>
      <c r="J11" s="4" t="inlineStr">
        <is>
          <t>2 – 8</t>
        </is>
      </c>
      <c r="K11" s="2" t="n">
        <v>10</v>
      </c>
      <c r="L11" s="4" t="inlineStr">
        <is>
          <t>فولاد، استیل A2، استیل A4</t>
        </is>
      </c>
      <c r="M11" s="4" t="inlineStr"/>
      <c r="N11" s="2" t="n">
        <v>0</v>
      </c>
      <c r="O11" s="2" t="inlineStr">
        <is>
          <t>دارد</t>
        </is>
      </c>
      <c r="P11" s="2" t="inlineStr">
        <is>
          <t>دارد</t>
        </is>
      </c>
      <c r="Q11" s="2" t="inlineStr">
        <is>
          <t>دارد</t>
        </is>
      </c>
    </row>
    <row r="12">
      <c r="A12" s="2" t="n">
        <v>11</v>
      </c>
      <c r="B12" s="2" t="inlineStr">
        <is>
          <t>DIN</t>
        </is>
      </c>
      <c r="C12" s="3" t="inlineStr">
        <is>
          <t>DIN 98</t>
        </is>
      </c>
      <c r="D12" s="4" t="inlineStr">
        <is>
          <t>دستگیرهٔ گردان</t>
        </is>
      </c>
      <c r="E12" s="4" t="inlineStr">
        <is>
          <t>Revolving handles</t>
        </is>
      </c>
      <c r="F12" s="4" t="inlineStr">
        <is>
          <t>سایر اتصالات و یراق</t>
        </is>
      </c>
      <c r="G12" s="2" t="n">
        <v>3</v>
      </c>
      <c r="H12" s="4" t="inlineStr">
        <is>
          <t>DIN 98</t>
        </is>
      </c>
      <c r="I12" s="4" t="inlineStr"/>
      <c r="J12" s="4" t="inlineStr">
        <is>
          <t>16 – 36</t>
        </is>
      </c>
      <c r="K12" s="2" t="n">
        <v>5</v>
      </c>
      <c r="L12" s="4" t="inlineStr">
        <is>
          <t>فولاد کربنی دسته با جنس پلاستیک یا باکالیت</t>
        </is>
      </c>
      <c r="M12" s="4" t="inlineStr">
        <is>
          <t>دسته استوانه‌ای چرخان مخصوص فلکه واهرم دستگاه</t>
        </is>
      </c>
      <c r="N12" s="2" t="n">
        <v>0</v>
      </c>
      <c r="O12" s="2" t="inlineStr">
        <is>
          <t>دارد</t>
        </is>
      </c>
      <c r="P12" s="2" t="inlineStr">
        <is>
          <t>دارد</t>
        </is>
      </c>
      <c r="Q12" s="2" t="inlineStr">
        <is>
          <t>دارد</t>
        </is>
      </c>
    </row>
    <row r="13">
      <c r="A13" s="2" t="n">
        <v>12</v>
      </c>
      <c r="B13" s="2" t="inlineStr">
        <is>
          <t>DIN</t>
        </is>
      </c>
      <c r="C13" s="3" t="inlineStr">
        <is>
          <t>DIN 99</t>
        </is>
      </c>
      <c r="D13" s="4" t="inlineStr">
        <is>
          <t>اهرم کلمپ</t>
        </is>
      </c>
      <c r="E13" s="4" t="inlineStr">
        <is>
          <t>Clamping Levers</t>
        </is>
      </c>
      <c r="F13" s="4" t="inlineStr">
        <is>
          <t>سایر اتصالات و یراق</t>
        </is>
      </c>
      <c r="G13" s="2" t="n">
        <v>3</v>
      </c>
      <c r="H13" s="4" t="inlineStr">
        <is>
          <t>DIN 99</t>
        </is>
      </c>
      <c r="I13" s="4" t="inlineStr"/>
      <c r="J13" s="4" t="inlineStr">
        <is>
          <t>M5 – M24</t>
        </is>
      </c>
      <c r="K13" s="2" t="n">
        <v>8</v>
      </c>
      <c r="L13" s="4" t="inlineStr">
        <is>
          <t>فولاد کربنی، استیل (فولاد ضدزنگ)، پلاستیک، باکالیت</t>
        </is>
      </c>
      <c r="M13" s="4" t="inlineStr">
        <is>
          <t>مهره دستگیره‌ای، دسته ثابت ماشین الات</t>
        </is>
      </c>
      <c r="N13" s="2" t="n">
        <v>8</v>
      </c>
      <c r="O13" s="2" t="inlineStr">
        <is>
          <t>دارد</t>
        </is>
      </c>
      <c r="P13" s="2" t="inlineStr">
        <is>
          <t>دارد</t>
        </is>
      </c>
      <c r="Q13" s="2" t="inlineStr">
        <is>
          <t>دارد</t>
        </is>
      </c>
    </row>
    <row r="14">
      <c r="A14" s="2" t="n">
        <v>13</v>
      </c>
      <c r="B14" s="2" t="inlineStr">
        <is>
          <t>DIN</t>
        </is>
      </c>
      <c r="C14" s="3" t="inlineStr">
        <is>
          <t>DIN 125 A</t>
        </is>
      </c>
      <c r="D14" s="4" t="inlineStr">
        <is>
          <t>واشر تخت</t>
        </is>
      </c>
      <c r="E14" s="4" t="inlineStr">
        <is>
          <t>Plain washers, Form A</t>
        </is>
      </c>
      <c r="F14" s="4" t="inlineStr">
        <is>
          <t>واشر</t>
        </is>
      </c>
      <c r="G14" s="2" t="n">
        <v>1</v>
      </c>
      <c r="H14" s="4" t="inlineStr">
        <is>
          <t>DIN 125-1, 125-2</t>
        </is>
      </c>
      <c r="I14" s="4" t="inlineStr">
        <is>
          <t>ISO 7089، CSN 021702، PN 82006، UNI 6592</t>
        </is>
      </c>
      <c r="J14" s="4" t="inlineStr">
        <is>
          <t>M3 – M24</t>
        </is>
      </c>
      <c r="K14" s="2" t="n">
        <v>10</v>
      </c>
      <c r="L14" s="4" t="inlineStr">
        <is>
          <t>فولاد کربنی گالوانیزه، استیل A2، استیل A4</t>
        </is>
      </c>
      <c r="M14" s="4" t="inlineStr"/>
      <c r="N14" s="2" t="n">
        <v>30</v>
      </c>
      <c r="O14" s="2" t="inlineStr">
        <is>
          <t>دارد</t>
        </is>
      </c>
      <c r="P14" s="2" t="inlineStr">
        <is>
          <t>دارد</t>
        </is>
      </c>
      <c r="Q14" s="2" t="inlineStr">
        <is>
          <t>دارد</t>
        </is>
      </c>
    </row>
    <row r="15">
      <c r="A15" s="2" t="n">
        <v>14</v>
      </c>
      <c r="B15" s="2" t="inlineStr">
        <is>
          <t>DIN</t>
        </is>
      </c>
      <c r="C15" s="3" t="inlineStr">
        <is>
          <t>DIN 125 B</t>
        </is>
      </c>
      <c r="D15" s="4" t="inlineStr">
        <is>
          <t>واشر تخت فرم B (پخ‌دار)</t>
        </is>
      </c>
      <c r="E15" s="4" t="inlineStr">
        <is>
          <t>Plain washers, chamfered, Form B</t>
        </is>
      </c>
      <c r="F15" s="4" t="inlineStr">
        <is>
          <t>واشر</t>
        </is>
      </c>
      <c r="G15" s="2" t="n">
        <v>1</v>
      </c>
      <c r="H15" s="4" t="inlineStr">
        <is>
          <t>DIN EN ISO 7090</t>
        </is>
      </c>
      <c r="I15" s="4" t="inlineStr">
        <is>
          <t>ISO 7090، CSN 021702، PN 82006، UNI 1751</t>
        </is>
      </c>
      <c r="J15" s="4" t="inlineStr">
        <is>
          <t>M5 – M160</t>
        </is>
      </c>
      <c r="K15" s="2" t="n">
        <v>52</v>
      </c>
      <c r="L15" s="4" t="inlineStr">
        <is>
          <t>فولاد کربنی گالوانیزه، استیل A2، استیل A4</t>
        </is>
      </c>
      <c r="M15" s="4" t="inlineStr"/>
      <c r="N15" s="2" t="n">
        <v>52</v>
      </c>
      <c r="O15" s="2" t="inlineStr">
        <is>
          <t>دارد</t>
        </is>
      </c>
      <c r="P15" s="2" t="inlineStr">
        <is>
          <t>دارد</t>
        </is>
      </c>
      <c r="Q15" s="2" t="inlineStr">
        <is>
          <t>دارد</t>
        </is>
      </c>
    </row>
    <row r="16">
      <c r="A16" s="2" t="n">
        <v>15</v>
      </c>
      <c r="B16" s="2" t="inlineStr">
        <is>
          <t>DIN</t>
        </is>
      </c>
      <c r="C16" s="3" t="inlineStr">
        <is>
          <t>DIN 126</t>
        </is>
      </c>
      <c r="D16" s="4" t="inlineStr">
        <is>
          <t>واشر تخت (کلاس C)</t>
        </is>
      </c>
      <c r="E16" s="4" t="inlineStr">
        <is>
          <t>Plain washers, product grade C</t>
        </is>
      </c>
      <c r="F16" s="4" t="inlineStr">
        <is>
          <t>واشر</t>
        </is>
      </c>
      <c r="G16" s="2" t="n">
        <v>2</v>
      </c>
      <c r="H16" s="4" t="inlineStr">
        <is>
          <t>DIN EN ISO 7091</t>
        </is>
      </c>
      <c r="I16" s="4" t="inlineStr">
        <is>
          <t>ISO 7091، CSN 021721، PN 82005، UNI 6593</t>
        </is>
      </c>
      <c r="J16" s="4" t="inlineStr">
        <is>
          <t>1.6 – 64</t>
        </is>
      </c>
      <c r="K16" s="2" t="n">
        <v>19</v>
      </c>
      <c r="L16" s="4" t="inlineStr">
        <is>
          <t>فولاد کربنی گالوانیزه، استیل A2، استیل A4</t>
        </is>
      </c>
      <c r="M16" s="4" t="inlineStr"/>
      <c r="N16" s="2" t="n">
        <v>19</v>
      </c>
      <c r="O16" s="2" t="inlineStr">
        <is>
          <t>دارد</t>
        </is>
      </c>
      <c r="P16" s="2" t="inlineStr">
        <is>
          <t>دارد</t>
        </is>
      </c>
      <c r="Q16" s="2" t="inlineStr">
        <is>
          <t>دارد</t>
        </is>
      </c>
    </row>
    <row r="17">
      <c r="A17" s="2" t="n">
        <v>16</v>
      </c>
      <c r="B17" s="2" t="inlineStr">
        <is>
          <t>DIN</t>
        </is>
      </c>
      <c r="C17" s="3" t="inlineStr">
        <is>
          <t>DIN 127 A</t>
        </is>
      </c>
      <c r="D17" s="4" t="inlineStr">
        <is>
          <t>واشر فنری فرم A</t>
        </is>
      </c>
      <c r="E17" s="4" t="inlineStr">
        <is>
          <t>Spring lock washers, Form A</t>
        </is>
      </c>
      <c r="F17" s="4" t="inlineStr">
        <is>
          <t>واشر</t>
        </is>
      </c>
      <c r="G17" s="2" t="n">
        <v>1</v>
      </c>
      <c r="H17" s="4" t="inlineStr"/>
      <c r="I17" s="4" t="inlineStr">
        <is>
          <t>CSN 021741، UNI 1751</t>
        </is>
      </c>
      <c r="J17" s="4" t="inlineStr">
        <is>
          <t>M3 – M100</t>
        </is>
      </c>
      <c r="K17" s="2" t="n">
        <v>31</v>
      </c>
      <c r="L17" s="4" t="inlineStr">
        <is>
          <t>فولاد فنری، استیل فنری، استیل A2، استیل A4</t>
        </is>
      </c>
      <c r="M17" s="4" t="inlineStr"/>
      <c r="N17" s="2" t="n">
        <v>31</v>
      </c>
      <c r="O17" s="2" t="inlineStr">
        <is>
          <t>دارد</t>
        </is>
      </c>
      <c r="P17" s="2" t="inlineStr">
        <is>
          <t>دارد</t>
        </is>
      </c>
      <c r="Q17" s="2" t="inlineStr">
        <is>
          <t>دارد</t>
        </is>
      </c>
    </row>
    <row r="18">
      <c r="A18" s="2" t="n">
        <v>17</v>
      </c>
      <c r="B18" s="2" t="inlineStr">
        <is>
          <t>DIN</t>
        </is>
      </c>
      <c r="C18" s="3" t="inlineStr">
        <is>
          <t>DIN 127 B</t>
        </is>
      </c>
      <c r="D18" s="4" t="inlineStr">
        <is>
          <t>واشر فنری</t>
        </is>
      </c>
      <c r="E18" s="4" t="inlineStr">
        <is>
          <t>Spring lock washers, Form B</t>
        </is>
      </c>
      <c r="F18" s="4" t="inlineStr">
        <is>
          <t>واشر</t>
        </is>
      </c>
      <c r="G18" s="2" t="n">
        <v>1</v>
      </c>
      <c r="H18" s="4" t="inlineStr"/>
      <c r="I18" s="4" t="inlineStr">
        <is>
          <t>CSN 021741، UNI 1751</t>
        </is>
      </c>
      <c r="J18" s="4" t="inlineStr">
        <is>
          <t>M4 – M20</t>
        </is>
      </c>
      <c r="K18" s="2" t="n">
        <v>8</v>
      </c>
      <c r="L18" s="4" t="inlineStr">
        <is>
          <t>فولاد فنری، استیل فنری، استیل A2، استیل A4</t>
        </is>
      </c>
      <c r="M18" s="4" t="inlineStr"/>
      <c r="N18" s="2" t="n">
        <v>32</v>
      </c>
      <c r="O18" s="2" t="inlineStr">
        <is>
          <t>دارد</t>
        </is>
      </c>
      <c r="P18" s="2" t="inlineStr">
        <is>
          <t>دارد</t>
        </is>
      </c>
      <c r="Q18" s="2" t="inlineStr">
        <is>
          <t>دارد</t>
        </is>
      </c>
    </row>
    <row r="19">
      <c r="A19" s="2" t="n">
        <v>18</v>
      </c>
      <c r="B19" s="2" t="inlineStr">
        <is>
          <t>DIN</t>
        </is>
      </c>
      <c r="C19" s="3" t="inlineStr">
        <is>
          <t>DIN 128 A</t>
        </is>
      </c>
      <c r="D19" s="4" t="inlineStr">
        <is>
          <t>واشر فنری خمیده</t>
        </is>
      </c>
      <c r="E19" s="4" t="inlineStr">
        <is>
          <t>Curved spring lock washers, Form A</t>
        </is>
      </c>
      <c r="F19" s="4" t="inlineStr">
        <is>
          <t>واشر</t>
        </is>
      </c>
      <c r="G19" s="2" t="n">
        <v>2</v>
      </c>
      <c r="H19" s="4" t="inlineStr"/>
      <c r="I19" s="4" t="inlineStr">
        <is>
          <t>CSN 021731، UNI 8839</t>
        </is>
      </c>
      <c r="J19" s="4" t="inlineStr">
        <is>
          <t>M2 – M36</t>
        </is>
      </c>
      <c r="K19" s="2" t="n">
        <v>20</v>
      </c>
      <c r="L19" s="4" t="inlineStr">
        <is>
          <t>فولاد فنری، استیل فنری، استیل A2، استیل A4</t>
        </is>
      </c>
      <c r="M19" s="4" t="inlineStr"/>
      <c r="N19" s="2" t="n">
        <v>20</v>
      </c>
      <c r="O19" s="2" t="inlineStr">
        <is>
          <t>دارد</t>
        </is>
      </c>
      <c r="P19" s="2" t="inlineStr">
        <is>
          <t>دارد</t>
        </is>
      </c>
      <c r="Q19" s="2" t="inlineStr">
        <is>
          <t>دارد</t>
        </is>
      </c>
    </row>
    <row r="20">
      <c r="A20" s="2" t="n">
        <v>19</v>
      </c>
      <c r="B20" s="2" t="inlineStr">
        <is>
          <t>DIN</t>
        </is>
      </c>
      <c r="C20" s="3" t="inlineStr">
        <is>
          <t>DIN 128 B</t>
        </is>
      </c>
      <c r="D20" s="4" t="inlineStr">
        <is>
          <t>واشر فنری موجی</t>
        </is>
      </c>
      <c r="E20" s="4" t="inlineStr">
        <is>
          <t>Wave spring lock washers, Form B</t>
        </is>
      </c>
      <c r="F20" s="4" t="inlineStr">
        <is>
          <t>واشر</t>
        </is>
      </c>
      <c r="G20" s="2" t="n">
        <v>2</v>
      </c>
      <c r="H20" s="4" t="inlineStr"/>
      <c r="I20" s="4" t="inlineStr">
        <is>
          <t>CSN 021731، UNI 8839</t>
        </is>
      </c>
      <c r="J20" s="4" t="inlineStr">
        <is>
          <t>M4 – M16</t>
        </is>
      </c>
      <c r="K20" s="2" t="n">
        <v>7</v>
      </c>
      <c r="L20" s="4" t="inlineStr">
        <is>
          <t>فولاد فنری، استیل فنری، استیل A2، استیل A4</t>
        </is>
      </c>
      <c r="M20" s="4" t="inlineStr"/>
      <c r="N20" s="2" t="n">
        <v>7</v>
      </c>
      <c r="O20" s="2" t="inlineStr">
        <is>
          <t>دارد</t>
        </is>
      </c>
      <c r="P20" s="2" t="inlineStr">
        <is>
          <t>دارد</t>
        </is>
      </c>
      <c r="Q20" s="2" t="inlineStr">
        <is>
          <t>دارد</t>
        </is>
      </c>
    </row>
    <row r="21">
      <c r="A21" s="2" t="n">
        <v>20</v>
      </c>
      <c r="B21" s="2" t="inlineStr">
        <is>
          <t>DIN</t>
        </is>
      </c>
      <c r="C21" s="3" t="inlineStr">
        <is>
          <t>DIN 134</t>
        </is>
      </c>
      <c r="D21" s="4" t="inlineStr">
        <is>
          <t>واشر تخت پهن</t>
        </is>
      </c>
      <c r="E21" s="4" t="inlineStr">
        <is>
          <t>Plain washers, large</t>
        </is>
      </c>
      <c r="F21" s="4" t="inlineStr">
        <is>
          <t>واشر</t>
        </is>
      </c>
      <c r="G21" s="2" t="n">
        <v>2</v>
      </c>
      <c r="H21" s="4" t="inlineStr">
        <is>
          <t>Withdrawn</t>
        </is>
      </c>
      <c r="I21" s="4" t="inlineStr"/>
      <c r="J21" s="4" t="inlineStr">
        <is>
          <t>M3 – M20</t>
        </is>
      </c>
      <c r="K21" s="2" t="n">
        <v>11</v>
      </c>
      <c r="L21" s="4" t="inlineStr">
        <is>
          <t>فولاد کربنی، استیل A2، استیل A4</t>
        </is>
      </c>
      <c r="M21" s="4" t="inlineStr"/>
      <c r="N21" s="2" t="n">
        <v>11</v>
      </c>
      <c r="O21" s="2" t="inlineStr">
        <is>
          <t>دارد</t>
        </is>
      </c>
      <c r="P21" s="2" t="inlineStr">
        <is>
          <t>دارد</t>
        </is>
      </c>
      <c r="Q21" s="2" t="inlineStr">
        <is>
          <t>دارد</t>
        </is>
      </c>
    </row>
    <row r="22">
      <c r="A22" s="2" t="n">
        <v>21</v>
      </c>
      <c r="B22" s="2" t="inlineStr">
        <is>
          <t>DIN</t>
        </is>
      </c>
      <c r="C22" s="3" t="inlineStr">
        <is>
          <t>DIN 137 A</t>
        </is>
      </c>
      <c r="D22" s="4" t="inlineStr">
        <is>
          <t>واشر فنری خمیده فرم A</t>
        </is>
      </c>
      <c r="E22" s="4" t="inlineStr">
        <is>
          <t>Curved spring washers, Form A</t>
        </is>
      </c>
      <c r="F22" s="4" t="inlineStr">
        <is>
          <t>واشر</t>
        </is>
      </c>
      <c r="G22" s="2" t="n">
        <v>2</v>
      </c>
      <c r="H22" s="4" t="inlineStr"/>
      <c r="I22" s="4" t="inlineStr">
        <is>
          <t>CSN 021733، UNI 8840A</t>
        </is>
      </c>
      <c r="J22" s="4" t="inlineStr">
        <is>
          <t>3.2 – 37</t>
        </is>
      </c>
      <c r="K22" s="2" t="n">
        <v>19</v>
      </c>
      <c r="L22" s="4" t="inlineStr">
        <is>
          <t>فولاد فنری، استیل فنری، استیل A2، استیل A4</t>
        </is>
      </c>
      <c r="M22" s="4" t="inlineStr">
        <is>
          <t>واشر تخت فنری موجی</t>
        </is>
      </c>
      <c r="N22" s="2" t="n">
        <v>19</v>
      </c>
      <c r="O22" s="2" t="inlineStr">
        <is>
          <t>دارد</t>
        </is>
      </c>
      <c r="P22" s="2" t="inlineStr">
        <is>
          <t>دارد</t>
        </is>
      </c>
      <c r="Q22" s="2" t="inlineStr">
        <is>
          <t>دارد</t>
        </is>
      </c>
    </row>
    <row r="23">
      <c r="A23" s="2" t="n">
        <v>22</v>
      </c>
      <c r="B23" s="2" t="inlineStr">
        <is>
          <t>DIN</t>
        </is>
      </c>
      <c r="C23" s="3" t="inlineStr">
        <is>
          <t>DIN 137 B</t>
        </is>
      </c>
      <c r="D23" s="4" t="inlineStr">
        <is>
          <t>واشر فنری موجی فرم B</t>
        </is>
      </c>
      <c r="E23" s="4" t="inlineStr">
        <is>
          <t>Wave spring washers, Form B</t>
        </is>
      </c>
      <c r="F23" s="4" t="inlineStr">
        <is>
          <t>واشر</t>
        </is>
      </c>
      <c r="G23" s="2" t="n">
        <v>2</v>
      </c>
      <c r="H23" s="4" t="inlineStr"/>
      <c r="I23" s="4" t="inlineStr">
        <is>
          <t>CSN 021733، UNI 8840B</t>
        </is>
      </c>
      <c r="J23" s="4" t="inlineStr">
        <is>
          <t>M3 – M36</t>
        </is>
      </c>
      <c r="K23" s="2" t="n">
        <v>19</v>
      </c>
      <c r="L23" s="4" t="inlineStr">
        <is>
          <t>فولاد فنری، استیل فنری، استیل A2، استیل A4</t>
        </is>
      </c>
      <c r="M23" s="4" t="inlineStr">
        <is>
          <t>واشر تخت فنری موجی</t>
        </is>
      </c>
      <c r="N23" s="2" t="n">
        <v>19</v>
      </c>
      <c r="O23" s="2" t="inlineStr">
        <is>
          <t>دارد</t>
        </is>
      </c>
      <c r="P23" s="2" t="inlineStr">
        <is>
          <t>دارد</t>
        </is>
      </c>
      <c r="Q23" s="2" t="inlineStr">
        <is>
          <t>دارد</t>
        </is>
      </c>
    </row>
    <row r="24">
      <c r="A24" s="2" t="n">
        <v>23</v>
      </c>
      <c r="B24" s="2" t="inlineStr">
        <is>
          <t>DIN</t>
        </is>
      </c>
      <c r="C24" s="3" t="inlineStr">
        <is>
          <t>DIN 186</t>
        </is>
      </c>
      <c r="D24" s="4" t="inlineStr">
        <is>
          <t>پیچ سر T با گردن چهارگوش</t>
        </is>
      </c>
      <c r="E24" s="4" t="inlineStr">
        <is>
          <t>T-Head bolts with square neck Head</t>
        </is>
      </c>
      <c r="F24" s="4" t="inlineStr">
        <is>
          <t>پیچ سرخاص و کالسکه</t>
        </is>
      </c>
      <c r="G24" s="2" t="n">
        <v>3</v>
      </c>
      <c r="H24" s="4" t="inlineStr">
        <is>
          <t>DIN 186</t>
        </is>
      </c>
      <c r="I24" s="4" t="inlineStr">
        <is>
          <t>CSN 021343، PN 82418</t>
        </is>
      </c>
      <c r="J24" s="4" t="inlineStr">
        <is>
          <t>M6 – M48</t>
        </is>
      </c>
      <c r="K24" s="2" t="n">
        <v>11</v>
      </c>
      <c r="L24" s="4" t="inlineStr">
        <is>
          <t>فولاد 4.6، فولاد 5.6، فولاد 8.8، استیل A2-70، استیل A4-70</t>
        </is>
      </c>
      <c r="M24" s="4" t="inlineStr">
        <is>
          <t>پیچ تی چهارخار</t>
        </is>
      </c>
      <c r="N24" s="2" t="n">
        <v>87</v>
      </c>
      <c r="O24" s="2" t="inlineStr">
        <is>
          <t>دارد</t>
        </is>
      </c>
      <c r="P24" s="2" t="inlineStr">
        <is>
          <t>دارد</t>
        </is>
      </c>
      <c r="Q24" s="2" t="inlineStr">
        <is>
          <t>دارد</t>
        </is>
      </c>
    </row>
    <row r="25">
      <c r="A25" s="2" t="n">
        <v>24</v>
      </c>
      <c r="B25" s="2" t="inlineStr">
        <is>
          <t>DIN</t>
        </is>
      </c>
      <c r="C25" s="3" t="inlineStr">
        <is>
          <t>DIN 188</t>
        </is>
      </c>
      <c r="D25" s="4" t="inlineStr">
        <is>
          <t>پیچ سر T زائده‌دار</t>
        </is>
      </c>
      <c r="E25" s="4" t="inlineStr">
        <is>
          <t>T-head bolts with double nib</t>
        </is>
      </c>
      <c r="F25" s="4" t="inlineStr">
        <is>
          <t>پیچ سرخاص و کالسکه</t>
        </is>
      </c>
      <c r="G25" s="2" t="n">
        <v>3</v>
      </c>
      <c r="H25" s="4" t="inlineStr">
        <is>
          <t>DIN 188</t>
        </is>
      </c>
      <c r="I25" s="4" t="inlineStr">
        <is>
          <t>CSN 021343، PN 82418</t>
        </is>
      </c>
      <c r="J25" s="4" t="inlineStr">
        <is>
          <t>M8 – M80X6</t>
        </is>
      </c>
      <c r="K25" s="2" t="n">
        <v>14</v>
      </c>
      <c r="L25" s="4" t="inlineStr">
        <is>
          <t>فولاد 4.6، فولاد 5.6، فولاد 8.8، استیل A2-70، استیل A4-70</t>
        </is>
      </c>
      <c r="M25" s="4" t="inlineStr">
        <is>
          <t>پیچ تی دوطرفه</t>
        </is>
      </c>
      <c r="N25" s="2" t="n">
        <v>127</v>
      </c>
      <c r="O25" s="2" t="inlineStr">
        <is>
          <t>دارد</t>
        </is>
      </c>
      <c r="P25" s="2" t="inlineStr">
        <is>
          <t>دارد</t>
        </is>
      </c>
      <c r="Q25" s="2" t="inlineStr">
        <is>
          <t>دارد</t>
        </is>
      </c>
    </row>
    <row r="26">
      <c r="A26" s="2" t="n">
        <v>25</v>
      </c>
      <c r="B26" s="2" t="inlineStr">
        <is>
          <t>DIN</t>
        </is>
      </c>
      <c r="C26" s="3" t="inlineStr">
        <is>
          <t>DIN 258</t>
        </is>
      </c>
      <c r="D26" s="4" t="inlineStr">
        <is>
          <t>پین مخروطی با رزوهٔ خارجی</t>
        </is>
      </c>
      <c r="E26" s="4" t="inlineStr">
        <is>
          <t>Taper pins with external thread</t>
        </is>
      </c>
      <c r="F26" s="4" t="inlineStr">
        <is>
          <t>پین</t>
        </is>
      </c>
      <c r="G26" s="2" t="n">
        <v>3</v>
      </c>
      <c r="H26" s="4" t="inlineStr">
        <is>
          <t>DIN 258</t>
        </is>
      </c>
      <c r="I26" s="4" t="inlineStr">
        <is>
          <t>ISO 8737، CSN 022154، EU 28738</t>
        </is>
      </c>
      <c r="J26" s="4" t="inlineStr">
        <is>
          <t>5 – 20</t>
        </is>
      </c>
      <c r="K26" s="2" t="n">
        <v>7</v>
      </c>
      <c r="L26" s="4" t="inlineStr">
        <is>
          <t>فولاد فنری سخت‌کاری‌شده، استیل A2</t>
        </is>
      </c>
      <c r="M26" s="4" t="inlineStr"/>
      <c r="N26" s="2" t="n">
        <v>0</v>
      </c>
      <c r="O26" s="2" t="inlineStr">
        <is>
          <t>دارد</t>
        </is>
      </c>
      <c r="P26" s="2" t="inlineStr">
        <is>
          <t>دارد</t>
        </is>
      </c>
      <c r="Q26" s="2" t="inlineStr">
        <is>
          <t>دارد</t>
        </is>
      </c>
    </row>
    <row r="27">
      <c r="A27" s="2" t="n">
        <v>26</v>
      </c>
      <c r="B27" s="2" t="inlineStr">
        <is>
          <t>DIN</t>
        </is>
      </c>
      <c r="C27" s="3" t="inlineStr">
        <is>
          <t>DIN 261</t>
        </is>
      </c>
      <c r="D27" s="4" t="inlineStr">
        <is>
          <t>پیچ سر T</t>
        </is>
      </c>
      <c r="E27" s="4" t="inlineStr">
        <is>
          <t>T-head bolts</t>
        </is>
      </c>
      <c r="F27" s="4" t="inlineStr">
        <is>
          <t>پیچ سرخاص و کالسکه</t>
        </is>
      </c>
      <c r="G27" s="2" t="n">
        <v>3</v>
      </c>
      <c r="H27" s="4" t="inlineStr">
        <is>
          <t>DIN 261</t>
        </is>
      </c>
      <c r="I27" s="4" t="inlineStr">
        <is>
          <t>PN 82424</t>
        </is>
      </c>
      <c r="J27" s="4" t="inlineStr">
        <is>
          <t>M8 – M100X6</t>
        </is>
      </c>
      <c r="K27" s="2" t="n">
        <v>16</v>
      </c>
      <c r="L27" s="4" t="inlineStr">
        <is>
          <t>فولاد 4.6، فولاد 5.6، فولاد 8.8، استیل A2-70، استیل A4-70</t>
        </is>
      </c>
      <c r="M27" s="4" t="inlineStr">
        <is>
          <t>پیچ تی</t>
        </is>
      </c>
      <c r="N27" s="2" t="n">
        <v>186</v>
      </c>
      <c r="O27" s="2" t="inlineStr">
        <is>
          <t>دارد</t>
        </is>
      </c>
      <c r="P27" s="2" t="inlineStr">
        <is>
          <t>دارد</t>
        </is>
      </c>
      <c r="Q27" s="2" t="inlineStr">
        <is>
          <t>دارد</t>
        </is>
      </c>
    </row>
    <row r="28">
      <c r="A28" s="2" t="n">
        <v>27</v>
      </c>
      <c r="B28" s="2" t="inlineStr">
        <is>
          <t>DIN</t>
        </is>
      </c>
      <c r="C28" s="3" t="inlineStr">
        <is>
          <t>DIN 314</t>
        </is>
      </c>
      <c r="D28" s="4" t="inlineStr">
        <is>
          <t>مهره پروانه‌ای</t>
        </is>
      </c>
      <c r="E28" s="4" t="inlineStr">
        <is>
          <t>Wing nuts with edged wings</t>
        </is>
      </c>
      <c r="F28" s="4" t="inlineStr">
        <is>
          <t>مهره</t>
        </is>
      </c>
      <c r="G28" s="2" t="n">
        <v>2</v>
      </c>
      <c r="H28" s="4" t="inlineStr">
        <is>
          <t>DIN 314</t>
        </is>
      </c>
      <c r="I28" s="4" t="inlineStr"/>
      <c r="J28" s="4" t="inlineStr">
        <is>
          <t>M4 – M12</t>
        </is>
      </c>
      <c r="K28" s="2" t="n">
        <v>6</v>
      </c>
      <c r="L28" s="4" t="inlineStr">
        <is>
          <t>فولاد گالوانیزه، استیل A2-70، استیل A4-70</t>
        </is>
      </c>
      <c r="M28" s="4" t="inlineStr">
        <is>
          <t>مهره خروسکی</t>
        </is>
      </c>
      <c r="N28" s="2" t="n">
        <v>6</v>
      </c>
      <c r="O28" s="2" t="inlineStr">
        <is>
          <t>دارد</t>
        </is>
      </c>
      <c r="P28" s="2" t="inlineStr">
        <is>
          <t>دارد</t>
        </is>
      </c>
      <c r="Q28" s="2" t="inlineStr">
        <is>
          <t>دارد</t>
        </is>
      </c>
    </row>
    <row r="29">
      <c r="A29" s="2" t="n">
        <v>28</v>
      </c>
      <c r="B29" s="2" t="inlineStr">
        <is>
          <t>DIN</t>
        </is>
      </c>
      <c r="C29" s="3" t="inlineStr">
        <is>
          <t>DIN 315 A</t>
        </is>
      </c>
      <c r="D29" s="4" t="inlineStr">
        <is>
          <t>مهره پروانه‌ای (بال چهارگوش)</t>
        </is>
      </c>
      <c r="E29" s="4" t="inlineStr">
        <is>
          <t>Wing nuts, rectangular wings</t>
        </is>
      </c>
      <c r="F29" s="4" t="inlineStr">
        <is>
          <t>مهره</t>
        </is>
      </c>
      <c r="G29" s="2" t="n">
        <v>2</v>
      </c>
      <c r="H29" s="4" t="inlineStr">
        <is>
          <t>DIN 315 A</t>
        </is>
      </c>
      <c r="I29" s="4" t="inlineStr">
        <is>
          <t>CSN 021665، UNI 5448</t>
        </is>
      </c>
      <c r="J29" s="4" t="inlineStr">
        <is>
          <t>M3 – M20</t>
        </is>
      </c>
      <c r="K29" s="2" t="n">
        <v>11</v>
      </c>
      <c r="L29" s="4" t="inlineStr">
        <is>
          <t>فولاد گالوانیزه، استیل A2-70، استیل A4-70</t>
        </is>
      </c>
      <c r="M29" s="4" t="inlineStr">
        <is>
          <t>مهره خروسکی</t>
        </is>
      </c>
      <c r="N29" s="2" t="n">
        <v>11</v>
      </c>
      <c r="O29" s="2" t="inlineStr">
        <is>
          <t>دارد</t>
        </is>
      </c>
      <c r="P29" s="2" t="inlineStr">
        <is>
          <t>دارد</t>
        </is>
      </c>
      <c r="Q29" s="2" t="inlineStr">
        <is>
          <t>دارد</t>
        </is>
      </c>
    </row>
    <row r="30">
      <c r="A30" s="2" t="n">
        <v>29</v>
      </c>
      <c r="B30" s="2" t="inlineStr">
        <is>
          <t>DIN</t>
        </is>
      </c>
      <c r="C30" s="3" t="inlineStr">
        <is>
          <t>DIN 315 D</t>
        </is>
      </c>
      <c r="D30" s="4" t="inlineStr">
        <is>
          <t>مهره پروانه‌ای (بال گرد)</t>
        </is>
      </c>
      <c r="E30" s="4" t="inlineStr">
        <is>
          <t>Wing nuts, rounded wings</t>
        </is>
      </c>
      <c r="F30" s="4" t="inlineStr">
        <is>
          <t>مهره</t>
        </is>
      </c>
      <c r="G30" s="2" t="n">
        <v>2</v>
      </c>
      <c r="H30" s="4" t="inlineStr">
        <is>
          <t>DIN 315</t>
        </is>
      </c>
      <c r="I30" s="4" t="inlineStr">
        <is>
          <t>CSN 021665، UNI 5448</t>
        </is>
      </c>
      <c r="J30" s="4" t="inlineStr">
        <is>
          <t>M4 – M24</t>
        </is>
      </c>
      <c r="K30" s="2" t="n">
        <v>9</v>
      </c>
      <c r="L30" s="4" t="inlineStr">
        <is>
          <t>فولاد گالوانیزه، استیل A2-70، استیل A4-70</t>
        </is>
      </c>
      <c r="M30" s="4" t="inlineStr">
        <is>
          <t>مهره خروسکی</t>
        </is>
      </c>
      <c r="N30" s="2" t="n">
        <v>9</v>
      </c>
      <c r="O30" s="2" t="inlineStr">
        <is>
          <t>دارد</t>
        </is>
      </c>
      <c r="P30" s="2" t="inlineStr">
        <is>
          <t>دارد</t>
        </is>
      </c>
      <c r="Q30" s="2" t="inlineStr">
        <is>
          <t>دارد</t>
        </is>
      </c>
    </row>
    <row r="31">
      <c r="A31" s="2" t="n">
        <v>30</v>
      </c>
      <c r="B31" s="2" t="inlineStr">
        <is>
          <t>DIN</t>
        </is>
      </c>
      <c r="C31" s="3" t="inlineStr">
        <is>
          <t>DIN 316 A</t>
        </is>
      </c>
      <c r="D31" s="4" t="inlineStr">
        <is>
          <t>پیچ پروانه‌ای (بال چهارگوش)</t>
        </is>
      </c>
      <c r="E31" s="4" t="inlineStr">
        <is>
          <t>Wing screws, rectangular wings</t>
        </is>
      </c>
      <c r="F31" s="4" t="inlineStr">
        <is>
          <t>پیچ سرخاص و کالسکه</t>
        </is>
      </c>
      <c r="G31" s="2" t="n">
        <v>2</v>
      </c>
      <c r="H31" s="4" t="inlineStr">
        <is>
          <t>DIN 316A</t>
        </is>
      </c>
      <c r="I31" s="4" t="inlineStr">
        <is>
          <t>CSN 021365، UNI 5449</t>
        </is>
      </c>
      <c r="J31" s="4" t="inlineStr">
        <is>
          <t>M3 – M12</t>
        </is>
      </c>
      <c r="K31" s="2" t="n">
        <v>7</v>
      </c>
      <c r="L31" s="4" t="inlineStr">
        <is>
          <t>فولاد، استیل A2، استیل A4</t>
        </is>
      </c>
      <c r="M31" s="4" t="inlineStr">
        <is>
          <t>پیچ خروسکی</t>
        </is>
      </c>
      <c r="N31" s="2" t="n">
        <v>65</v>
      </c>
      <c r="O31" s="2" t="inlineStr">
        <is>
          <t>دارد</t>
        </is>
      </c>
      <c r="P31" s="2" t="inlineStr">
        <is>
          <t>دارد</t>
        </is>
      </c>
      <c r="Q31" s="2" t="inlineStr">
        <is>
          <t>دارد</t>
        </is>
      </c>
    </row>
    <row r="32">
      <c r="A32" s="2" t="n">
        <v>31</v>
      </c>
      <c r="B32" s="2" t="inlineStr">
        <is>
          <t>DIN</t>
        </is>
      </c>
      <c r="C32" s="3" t="inlineStr">
        <is>
          <t>DIN 316 D</t>
        </is>
      </c>
      <c r="D32" s="4" t="inlineStr">
        <is>
          <t>پیچ پروانه‌ای (بال گرد)</t>
        </is>
      </c>
      <c r="E32" s="4" t="inlineStr">
        <is>
          <t>Wing screws, rounded wings</t>
        </is>
      </c>
      <c r="F32" s="4" t="inlineStr">
        <is>
          <t>پیچ سرخاص و کالسکه</t>
        </is>
      </c>
      <c r="G32" s="2" t="n">
        <v>2</v>
      </c>
      <c r="H32" s="4" t="inlineStr">
        <is>
          <t>DIN 316</t>
        </is>
      </c>
      <c r="I32" s="4" t="inlineStr">
        <is>
          <t>CSN 021365</t>
        </is>
      </c>
      <c r="J32" s="4" t="inlineStr">
        <is>
          <t>M4 – M24</t>
        </is>
      </c>
      <c r="K32" s="2" t="n">
        <v>9</v>
      </c>
      <c r="L32" s="4" t="inlineStr">
        <is>
          <t>فولاد، استیل A2، استیل A4</t>
        </is>
      </c>
      <c r="M32" s="4" t="inlineStr">
        <is>
          <t>پیچ خروسکی</t>
        </is>
      </c>
      <c r="N32" s="2" t="n">
        <v>72</v>
      </c>
      <c r="O32" s="2" t="inlineStr">
        <is>
          <t>دارد</t>
        </is>
      </c>
      <c r="P32" s="2" t="inlineStr">
        <is>
          <t>دارد</t>
        </is>
      </c>
      <c r="Q32" s="2" t="inlineStr">
        <is>
          <t>دارد</t>
        </is>
      </c>
    </row>
    <row r="33">
      <c r="A33" s="2" t="n">
        <v>32</v>
      </c>
      <c r="B33" s="2" t="inlineStr">
        <is>
          <t>DIN</t>
        </is>
      </c>
      <c r="C33" s="3" t="inlineStr">
        <is>
          <t>DIN 319</t>
        </is>
      </c>
      <c r="D33" s="4" t="inlineStr">
        <is>
          <t>دستگیرهٔ گوی</t>
        </is>
      </c>
      <c r="E33" s="4" t="inlineStr">
        <is>
          <t>Ball knobs</t>
        </is>
      </c>
      <c r="F33" s="4" t="inlineStr">
        <is>
          <t>سایر اتصالات و یراق</t>
        </is>
      </c>
      <c r="G33" s="2" t="n">
        <v>3</v>
      </c>
      <c r="H33" s="4" t="inlineStr">
        <is>
          <t>DIN 319</t>
        </is>
      </c>
      <c r="I33" s="4" t="inlineStr"/>
      <c r="J33" s="4" t="inlineStr">
        <is>
          <t>12 – 50×20</t>
        </is>
      </c>
      <c r="K33" s="2" t="n">
        <v>21</v>
      </c>
      <c r="L33" s="4" t="inlineStr">
        <is>
          <t>باکالیت، پلاستیک، فولاد و استیل</t>
        </is>
      </c>
      <c r="M33" s="4" t="inlineStr">
        <is>
          <t>دستگیره توپی گرد با سوراخ رزوه‌دار داخلی یا سوراخ ساده</t>
        </is>
      </c>
      <c r="N33" s="2" t="n">
        <v>21</v>
      </c>
      <c r="O33" s="2" t="inlineStr">
        <is>
          <t>دارد</t>
        </is>
      </c>
      <c r="P33" s="2" t="inlineStr">
        <is>
          <t>دارد</t>
        </is>
      </c>
      <c r="Q33" s="2" t="inlineStr">
        <is>
          <t>دارد</t>
        </is>
      </c>
    </row>
    <row r="34">
      <c r="A34" s="2" t="n">
        <v>33</v>
      </c>
      <c r="B34" s="2" t="inlineStr">
        <is>
          <t>DIN</t>
        </is>
      </c>
      <c r="C34" s="3" t="inlineStr">
        <is>
          <t>DIN 404</t>
        </is>
      </c>
      <c r="D34" s="4" t="inlineStr">
        <is>
          <t>پیچ دوسو سر کاپستان</t>
        </is>
      </c>
      <c r="E34" s="4" t="inlineStr">
        <is>
          <t>Slotted capstan screws</t>
        </is>
      </c>
      <c r="F34" s="4" t="inlineStr">
        <is>
          <t>پیچ دوسو و چهارسو</t>
        </is>
      </c>
      <c r="G34" s="2" t="n">
        <v>3</v>
      </c>
      <c r="H34" s="4" t="inlineStr">
        <is>
          <t>DIN 404</t>
        </is>
      </c>
      <c r="I34" s="4" t="inlineStr">
        <is>
          <t>CSN 021128، UNI 6111</t>
        </is>
      </c>
      <c r="J34" s="4" t="inlineStr">
        <is>
          <t>M2 – M10</t>
        </is>
      </c>
      <c r="K34" s="2" t="n">
        <v>8</v>
      </c>
      <c r="L34" s="4" t="inlineStr">
        <is>
          <t>فولاد 5.8، استیل A2-70، استیل A4-70</t>
        </is>
      </c>
      <c r="M34" s="4" t="inlineStr">
        <is>
          <t>پیچ پلمب دوسو، پیچ تنظیم</t>
        </is>
      </c>
      <c r="N34" s="2" t="n">
        <v>108</v>
      </c>
      <c r="O34" s="2" t="inlineStr">
        <is>
          <t>دارد</t>
        </is>
      </c>
      <c r="P34" s="2" t="inlineStr">
        <is>
          <t>دارد</t>
        </is>
      </c>
      <c r="Q34" s="2" t="inlineStr">
        <is>
          <t>دارد</t>
        </is>
      </c>
    </row>
    <row r="35">
      <c r="A35" s="2" t="n">
        <v>34</v>
      </c>
      <c r="B35" s="2" t="inlineStr">
        <is>
          <t>DIN</t>
        </is>
      </c>
      <c r="C35" s="3" t="inlineStr">
        <is>
          <t>DIN 417</t>
        </is>
      </c>
      <c r="D35" s="4" t="inlineStr">
        <is>
          <t>پیچ مغزی دوسو نوک پین</t>
        </is>
      </c>
      <c r="E35" s="4" t="inlineStr">
        <is>
          <t>Slotted set screws, long dog point</t>
        </is>
      </c>
      <c r="F35" s="4" t="inlineStr">
        <is>
          <t>پیچ مغزی</t>
        </is>
      </c>
      <c r="G35" s="2" t="n">
        <v>3</v>
      </c>
      <c r="H35" s="4" t="inlineStr">
        <is>
          <t>DIN EN 27435</t>
        </is>
      </c>
      <c r="I35" s="4" t="inlineStr">
        <is>
          <t>ISO 7435، CSN 021183، PN 82276، EU 27435</t>
        </is>
      </c>
      <c r="J35" s="4" t="inlineStr">
        <is>
          <t>M1.6 – M12</t>
        </is>
      </c>
      <c r="K35" s="2" t="n">
        <v>11</v>
      </c>
      <c r="L35" s="4" t="inlineStr">
        <is>
          <t>فولاد 4.8، فولاد 5.8، استیل A2-70، استیل A4-70</t>
        </is>
      </c>
      <c r="M35" s="4" t="inlineStr">
        <is>
          <t>پیچ مغزی دوسو نوک خلاصی</t>
        </is>
      </c>
      <c r="N35" s="2" t="n">
        <v>50</v>
      </c>
      <c r="O35" s="2" t="inlineStr">
        <is>
          <t>دارد</t>
        </is>
      </c>
      <c r="P35" s="2" t="inlineStr">
        <is>
          <t>دارد</t>
        </is>
      </c>
      <c r="Q35" s="2" t="inlineStr">
        <is>
          <t>دارد</t>
        </is>
      </c>
    </row>
    <row r="36">
      <c r="A36" s="2" t="n">
        <v>35</v>
      </c>
      <c r="B36" s="2" t="inlineStr">
        <is>
          <t>DIN</t>
        </is>
      </c>
      <c r="C36" s="3" t="inlineStr">
        <is>
          <t>DIN 427</t>
        </is>
      </c>
      <c r="D36" s="4" t="inlineStr">
        <is>
          <t>پیچ مغزی دوسو نوک تخت</t>
        </is>
      </c>
      <c r="E36" s="4" t="inlineStr">
        <is>
          <t>Slotted headless screws with flat point</t>
        </is>
      </c>
      <c r="F36" s="4" t="inlineStr">
        <is>
          <t>پیچ مغزی</t>
        </is>
      </c>
      <c r="G36" s="2" t="n">
        <v>3</v>
      </c>
      <c r="H36" s="4" t="inlineStr">
        <is>
          <t>DIN EN 2342</t>
        </is>
      </c>
      <c r="I36" s="4" t="inlineStr">
        <is>
          <t>PN 82271</t>
        </is>
      </c>
      <c r="J36" s="4" t="inlineStr">
        <is>
          <t>M3 – M10</t>
        </is>
      </c>
      <c r="K36" s="2" t="n">
        <v>6</v>
      </c>
      <c r="L36" s="4" t="inlineStr">
        <is>
          <t>فولاد 4.8، فولاد 5.8، استیل A2-70، استیل A4-70</t>
        </is>
      </c>
      <c r="M36" s="4" t="inlineStr">
        <is>
          <t>پیچ مغزی دوسو نیم رزوه</t>
        </is>
      </c>
      <c r="N36" s="2" t="n">
        <v>45</v>
      </c>
      <c r="O36" s="2" t="inlineStr">
        <is>
          <t>دارد</t>
        </is>
      </c>
      <c r="P36" s="2" t="inlineStr">
        <is>
          <t>دارد</t>
        </is>
      </c>
      <c r="Q36" s="2" t="inlineStr">
        <is>
          <t>دارد</t>
        </is>
      </c>
    </row>
    <row r="37">
      <c r="A37" s="2" t="n">
        <v>36</v>
      </c>
      <c r="B37" s="2" t="inlineStr">
        <is>
          <t>DIN</t>
        </is>
      </c>
      <c r="C37" s="3" t="inlineStr">
        <is>
          <t>DIN 431</t>
        </is>
      </c>
      <c r="D37" s="4" t="inlineStr">
        <is>
          <t>مهره لوله</t>
        </is>
      </c>
      <c r="E37" s="4" t="inlineStr">
        <is>
          <t>Hexagon pipe nuts</t>
        </is>
      </c>
      <c r="F37" s="4" t="inlineStr">
        <is>
          <t>مهره</t>
        </is>
      </c>
      <c r="G37" s="2" t="n">
        <v>2</v>
      </c>
      <c r="H37" s="4" t="inlineStr">
        <is>
          <t>DIN 431</t>
        </is>
      </c>
      <c r="I37" s="4" t="inlineStr"/>
      <c r="J37" s="4" t="inlineStr">
        <is>
          <t>G1/8 – G21/2</t>
        </is>
      </c>
      <c r="K37" s="2" t="n">
        <v>19</v>
      </c>
      <c r="L37" s="4" t="inlineStr"/>
      <c r="M37" s="4" t="inlineStr"/>
      <c r="N37" s="2" t="n">
        <v>19</v>
      </c>
      <c r="O37" s="2" t="inlineStr">
        <is>
          <t>دارد</t>
        </is>
      </c>
      <c r="P37" s="2" t="inlineStr">
        <is>
          <t>دارد</t>
        </is>
      </c>
      <c r="Q37" s="2" t="inlineStr">
        <is>
          <t>دارد</t>
        </is>
      </c>
    </row>
    <row r="38">
      <c r="A38" s="2" t="n">
        <v>37</v>
      </c>
      <c r="B38" s="2" t="inlineStr">
        <is>
          <t>DIN</t>
        </is>
      </c>
      <c r="C38" s="3" t="inlineStr">
        <is>
          <t>DIN 432</t>
        </is>
      </c>
      <c r="D38" s="4" t="inlineStr">
        <is>
          <t>واشر زبانه‌دار خارجی</t>
        </is>
      </c>
      <c r="E38" s="4" t="inlineStr">
        <is>
          <t>Tab washers, external tab</t>
        </is>
      </c>
      <c r="F38" s="4" t="inlineStr">
        <is>
          <t>واشر</t>
        </is>
      </c>
      <c r="G38" s="2" t="n">
        <v>3</v>
      </c>
      <c r="H38" s="4" t="inlineStr"/>
      <c r="I38" s="4" t="inlineStr">
        <is>
          <t>CSN 021753، PN 82011، UNI 6599</t>
        </is>
      </c>
      <c r="J38" s="4" t="inlineStr">
        <is>
          <t>M3 – M36</t>
        </is>
      </c>
      <c r="K38" s="2" t="n">
        <v>13</v>
      </c>
      <c r="L38" s="4" t="inlineStr">
        <is>
          <t>فولاد کربنی گالوانیزه، استیل A2، استیل A4</t>
        </is>
      </c>
      <c r="M38" s="4" t="inlineStr">
        <is>
          <t>واشر قفلی زبانه‌دار بیرونی، واشر خم شونده مخصوص قفل کردن مهره</t>
        </is>
      </c>
      <c r="N38" s="2" t="n">
        <v>13</v>
      </c>
      <c r="O38" s="2" t="inlineStr">
        <is>
          <t>دارد</t>
        </is>
      </c>
      <c r="P38" s="2" t="inlineStr">
        <is>
          <t>دارد</t>
        </is>
      </c>
      <c r="Q38" s="2" t="inlineStr">
        <is>
          <t>دارد</t>
        </is>
      </c>
    </row>
    <row r="39">
      <c r="A39" s="2" t="n">
        <v>38</v>
      </c>
      <c r="B39" s="2" t="inlineStr">
        <is>
          <t>DIN</t>
        </is>
      </c>
      <c r="C39" s="3" t="inlineStr">
        <is>
          <t>DIN 433</t>
        </is>
      </c>
      <c r="D39" s="4" t="inlineStr">
        <is>
          <t>واشر تخت برای پیچ سر استوانه‌ای</t>
        </is>
      </c>
      <c r="E39" s="4" t="inlineStr">
        <is>
          <t>Washers for cheese head screws</t>
        </is>
      </c>
      <c r="F39" s="4" t="inlineStr">
        <is>
          <t>واشر</t>
        </is>
      </c>
      <c r="G39" s="2" t="n">
        <v>2</v>
      </c>
      <c r="H39" s="4" t="inlineStr">
        <is>
          <t>DIN EN ISO 7092</t>
        </is>
      </c>
      <c r="I39" s="4" t="inlineStr">
        <is>
          <t>ISO 7092، CSN 021703، PN 82007، UNI 6592</t>
        </is>
      </c>
      <c r="J39" s="4" t="inlineStr">
        <is>
          <t>M1 – M36</t>
        </is>
      </c>
      <c r="K39" s="2" t="n">
        <v>22</v>
      </c>
      <c r="L39" s="4" t="inlineStr">
        <is>
          <t>فولاد کربنی گالوانیزه، استیل A2، استیل A4</t>
        </is>
      </c>
      <c r="M39" s="4" t="inlineStr">
        <is>
          <t>واشر تخت باریک</t>
        </is>
      </c>
      <c r="N39" s="2" t="n">
        <v>22</v>
      </c>
      <c r="O39" s="2" t="inlineStr">
        <is>
          <t>دارد</t>
        </is>
      </c>
      <c r="P39" s="2" t="inlineStr">
        <is>
          <t>دارد</t>
        </is>
      </c>
      <c r="Q39" s="2" t="inlineStr">
        <is>
          <t>دارد</t>
        </is>
      </c>
    </row>
    <row r="40">
      <c r="A40" s="2" t="n">
        <v>39</v>
      </c>
      <c r="B40" s="2" t="inlineStr">
        <is>
          <t>DIN</t>
        </is>
      </c>
      <c r="C40" s="3" t="inlineStr">
        <is>
          <t>DIN 434</t>
        </is>
      </c>
      <c r="D40" s="4" t="inlineStr">
        <is>
          <t>واشر گوه‌ای چهارگوش برای ناودانی (U)</t>
        </is>
      </c>
      <c r="E40" s="4" t="inlineStr">
        <is>
          <t>Square taper washers for U-sections</t>
        </is>
      </c>
      <c r="F40" s="4" t="inlineStr">
        <is>
          <t>واشر</t>
        </is>
      </c>
      <c r="G40" s="2" t="n">
        <v>2</v>
      </c>
      <c r="H40" s="4" t="inlineStr">
        <is>
          <t>DIN 434</t>
        </is>
      </c>
      <c r="I40" s="4" t="inlineStr">
        <is>
          <t>CSN 021739، PN 82018، UNI 6598</t>
        </is>
      </c>
      <c r="J40" s="4" t="inlineStr">
        <is>
          <t>M8 – M27</t>
        </is>
      </c>
      <c r="K40" s="2" t="n">
        <v>8</v>
      </c>
      <c r="L40" s="4" t="inlineStr">
        <is>
          <t>فولاد کربنی گالوانیزه، استیل A2، استیل A4</t>
        </is>
      </c>
      <c r="M40" s="4" t="inlineStr">
        <is>
          <t>واشر ریلی دوشیار، واشر سیب‌دار مربعی مخصوص تیرآهن U، واشر گوه‌ای ناودانی با شیب8%</t>
        </is>
      </c>
      <c r="N40" s="2" t="n">
        <v>8</v>
      </c>
      <c r="O40" s="2" t="inlineStr">
        <is>
          <t>دارد</t>
        </is>
      </c>
      <c r="P40" s="2" t="inlineStr">
        <is>
          <t>دارد</t>
        </is>
      </c>
      <c r="Q40" s="2" t="inlineStr">
        <is>
          <t>دارد</t>
        </is>
      </c>
    </row>
    <row r="41">
      <c r="A41" s="2" t="n">
        <v>40</v>
      </c>
      <c r="B41" s="2" t="inlineStr">
        <is>
          <t>DIN</t>
        </is>
      </c>
      <c r="C41" s="3" t="inlineStr">
        <is>
          <t>DIN 435</t>
        </is>
      </c>
      <c r="D41" s="4" t="inlineStr">
        <is>
          <t>واشر گوه‌ای چهارگوش برای تیرآهن (I)</t>
        </is>
      </c>
      <c r="E41" s="4" t="inlineStr">
        <is>
          <t>Square taper washers for I-sections</t>
        </is>
      </c>
      <c r="F41" s="4" t="inlineStr">
        <is>
          <t>واشر</t>
        </is>
      </c>
      <c r="G41" s="2" t="n">
        <v>2</v>
      </c>
      <c r="H41" s="4" t="inlineStr">
        <is>
          <t>DIN 435</t>
        </is>
      </c>
      <c r="I41" s="4" t="inlineStr">
        <is>
          <t>CSN 021739، PN 82009، UNI 5717</t>
        </is>
      </c>
      <c r="J41" s="4" t="inlineStr">
        <is>
          <t>M8 – M27</t>
        </is>
      </c>
      <c r="K41" s="2" t="n">
        <v>8</v>
      </c>
      <c r="L41" s="4" t="inlineStr">
        <is>
          <t>فولاد کربنی گالوانیزه، استیل A2، استیل A4</t>
        </is>
      </c>
      <c r="M41" s="4" t="inlineStr">
        <is>
          <t>واشر ریلی تک شیار، واشر شیب‌دار مربعی مخصوص تیر اهن I، واشر گوه‌ای بال تیر آهن با شیب 14%</t>
        </is>
      </c>
      <c r="N41" s="2" t="n">
        <v>8</v>
      </c>
      <c r="O41" s="2" t="inlineStr">
        <is>
          <t>دارد</t>
        </is>
      </c>
      <c r="P41" s="2" t="inlineStr">
        <is>
          <t>دارد</t>
        </is>
      </c>
      <c r="Q41" s="2" t="inlineStr">
        <is>
          <t>دارد</t>
        </is>
      </c>
    </row>
    <row r="42">
      <c r="A42" s="2" t="n">
        <v>41</v>
      </c>
      <c r="B42" s="2" t="inlineStr">
        <is>
          <t>DIN</t>
        </is>
      </c>
      <c r="C42" s="3" t="inlineStr">
        <is>
          <t>DIN 436</t>
        </is>
      </c>
      <c r="D42" s="4" t="inlineStr">
        <is>
          <t>واشر چهارگوش سازهٔ چوبی</t>
        </is>
      </c>
      <c r="E42" s="4" t="inlineStr">
        <is>
          <t>Square Washers for wood constructions</t>
        </is>
      </c>
      <c r="F42" s="4" t="inlineStr">
        <is>
          <t>واشر</t>
        </is>
      </c>
      <c r="G42" s="2" t="n">
        <v>2</v>
      </c>
      <c r="H42" s="4" t="inlineStr">
        <is>
          <t>DIN 436</t>
        </is>
      </c>
      <c r="I42" s="4" t="inlineStr">
        <is>
          <t>CSN 021724، PN 82010، UNI 6596</t>
        </is>
      </c>
      <c r="J42" s="4" t="inlineStr">
        <is>
          <t>M10 – M52</t>
        </is>
      </c>
      <c r="K42" s="2" t="n">
        <v>15</v>
      </c>
      <c r="L42" s="4" t="inlineStr">
        <is>
          <t>فولاد کربنی گالوانیزه، استیل A2، استیل A4</t>
        </is>
      </c>
      <c r="M42" s="4" t="inlineStr"/>
      <c r="N42" s="2" t="n">
        <v>15</v>
      </c>
      <c r="O42" s="2" t="inlineStr">
        <is>
          <t>دارد</t>
        </is>
      </c>
      <c r="P42" s="2" t="inlineStr">
        <is>
          <t>دارد</t>
        </is>
      </c>
      <c r="Q42" s="2" t="inlineStr">
        <is>
          <t>دارد</t>
        </is>
      </c>
    </row>
    <row r="43">
      <c r="A43" s="2" t="n">
        <v>42</v>
      </c>
      <c r="B43" s="2" t="inlineStr">
        <is>
          <t>DIN</t>
        </is>
      </c>
      <c r="C43" s="3" t="inlineStr">
        <is>
          <t>DIN 438</t>
        </is>
      </c>
      <c r="D43" s="4" t="inlineStr">
        <is>
          <t>پیچ مغزی دوسو نوک کاسه‌ای</t>
        </is>
      </c>
      <c r="E43" s="4" t="inlineStr">
        <is>
          <t>Slotted set screws with cup point</t>
        </is>
      </c>
      <c r="F43" s="4" t="inlineStr">
        <is>
          <t>پیچ مغزی</t>
        </is>
      </c>
      <c r="G43" s="2" t="n">
        <v>2</v>
      </c>
      <c r="H43" s="4" t="inlineStr">
        <is>
          <t>DIN EN 27436</t>
        </is>
      </c>
      <c r="I43" s="4" t="inlineStr">
        <is>
          <t>ISO 7436، CSN 021182، PN 82274، EU 27436</t>
        </is>
      </c>
      <c r="J43" s="4" t="inlineStr">
        <is>
          <t>M3 – M10</t>
        </is>
      </c>
      <c r="K43" s="2" t="n">
        <v>6</v>
      </c>
      <c r="L43" s="4" t="inlineStr">
        <is>
          <t>فولاد 4.8، فولاد 5.8، استیل A2-70، استیل A4-70</t>
        </is>
      </c>
      <c r="M43" s="4" t="inlineStr">
        <is>
          <t>پیچ مغزی دوسو</t>
        </is>
      </c>
      <c r="N43" s="2" t="n">
        <v>77</v>
      </c>
      <c r="O43" s="2" t="inlineStr">
        <is>
          <t>دارد</t>
        </is>
      </c>
      <c r="P43" s="2" t="inlineStr">
        <is>
          <t>دارد</t>
        </is>
      </c>
      <c r="Q43" s="2" t="inlineStr">
        <is>
          <t>دارد</t>
        </is>
      </c>
    </row>
    <row r="44">
      <c r="A44" s="2" t="n">
        <v>43</v>
      </c>
      <c r="B44" s="2" t="inlineStr">
        <is>
          <t>DIN</t>
        </is>
      </c>
      <c r="C44" s="3" t="inlineStr">
        <is>
          <t>DIN 439 A</t>
        </is>
      </c>
      <c r="D44" s="4" t="inlineStr">
        <is>
          <t>مهره شش‌گوش نازک بدون پخ</t>
        </is>
      </c>
      <c r="E44" s="4" t="inlineStr">
        <is>
          <t>Hexagon thin nuts, unchamfered</t>
        </is>
      </c>
      <c r="F44" s="4" t="inlineStr">
        <is>
          <t>مهره</t>
        </is>
      </c>
      <c r="G44" s="2" t="n">
        <v>1</v>
      </c>
      <c r="H44" s="4" t="inlineStr">
        <is>
          <t>DIN EN 24035</t>
        </is>
      </c>
      <c r="I44" s="4" t="inlineStr">
        <is>
          <t>ISO 4035، CSN 021403، UNI 3692، EU 24035</t>
        </is>
      </c>
      <c r="J44" s="4" t="inlineStr">
        <is>
          <t>M2 – M36</t>
        </is>
      </c>
      <c r="K44" s="2" t="n">
        <v>18</v>
      </c>
      <c r="L44" s="4" t="inlineStr">
        <is>
          <t>کلاس 5، کلاس 8، استیل A2-70، استیل A4-70</t>
        </is>
      </c>
      <c r="M44" s="4" t="inlineStr">
        <is>
          <t>مهره باریک بدون پخ</t>
        </is>
      </c>
      <c r="N44" s="2" t="n">
        <v>18</v>
      </c>
      <c r="O44" s="2" t="inlineStr">
        <is>
          <t>دارد</t>
        </is>
      </c>
      <c r="P44" s="2" t="inlineStr">
        <is>
          <t>دارد</t>
        </is>
      </c>
      <c r="Q44" s="2" t="inlineStr">
        <is>
          <t>دارد</t>
        </is>
      </c>
    </row>
    <row r="45">
      <c r="A45" s="2" t="n">
        <v>44</v>
      </c>
      <c r="B45" s="2" t="inlineStr">
        <is>
          <t>DIN</t>
        </is>
      </c>
      <c r="C45" s="3" t="inlineStr">
        <is>
          <t>DIN 439 B</t>
        </is>
      </c>
      <c r="D45" s="4" t="inlineStr">
        <is>
          <t>مهره شش‌گوش نازک پخ‌دار</t>
        </is>
      </c>
      <c r="E45" s="4" t="inlineStr">
        <is>
          <t>Hexagon thin nuts, chamfered</t>
        </is>
      </c>
      <c r="F45" s="4" t="inlineStr">
        <is>
          <t>مهره</t>
        </is>
      </c>
      <c r="G45" s="2" t="n">
        <v>2</v>
      </c>
      <c r="H45" s="4" t="inlineStr">
        <is>
          <t>DIN EN 24035</t>
        </is>
      </c>
      <c r="I45" s="4" t="inlineStr">
        <is>
          <t>ISO 4035، CSN 021403، UNI 5589، EU 24035</t>
        </is>
      </c>
      <c r="J45" s="4" t="inlineStr">
        <is>
          <t>M1.6 – M52X3</t>
        </is>
      </c>
      <c r="K45" s="2" t="n">
        <v>65</v>
      </c>
      <c r="L45" s="4" t="inlineStr">
        <is>
          <t>کلاس 6، کلاس 8، استیل A2-70، استیل A4-70</t>
        </is>
      </c>
      <c r="M45" s="4" t="inlineStr">
        <is>
          <t>مهره باریک پخدار</t>
        </is>
      </c>
      <c r="N45" s="2" t="n">
        <v>65</v>
      </c>
      <c r="O45" s="2" t="inlineStr">
        <is>
          <t>دارد</t>
        </is>
      </c>
      <c r="P45" s="2" t="inlineStr">
        <is>
          <t>دارد</t>
        </is>
      </c>
      <c r="Q45" s="2" t="inlineStr">
        <is>
          <t>دارد</t>
        </is>
      </c>
    </row>
    <row r="46">
      <c r="A46" s="2" t="n">
        <v>45</v>
      </c>
      <c r="B46" s="2" t="inlineStr">
        <is>
          <t>DIN</t>
        </is>
      </c>
      <c r="C46" s="3" t="inlineStr">
        <is>
          <t>DIN 440 R</t>
        </is>
      </c>
      <c r="D46" s="4" t="inlineStr">
        <is>
          <t>واشر سازهٔ چوبی (سوراخ گرد)</t>
        </is>
      </c>
      <c r="E46" s="4" t="inlineStr">
        <is>
          <t>Washers for timber constructions, round hole</t>
        </is>
      </c>
      <c r="F46" s="4" t="inlineStr">
        <is>
          <t>واشر</t>
        </is>
      </c>
      <c r="G46" s="2" t="n">
        <v>2</v>
      </c>
      <c r="H46" s="4" t="inlineStr">
        <is>
          <t>DIN 440R</t>
        </is>
      </c>
      <c r="I46" s="4" t="inlineStr">
        <is>
          <t>ISO 7094، CSN 021727</t>
        </is>
      </c>
      <c r="J46" s="4" t="inlineStr">
        <is>
          <t>M5 – M36</t>
        </is>
      </c>
      <c r="K46" s="2" t="n">
        <v>15</v>
      </c>
      <c r="L46" s="4" t="inlineStr">
        <is>
          <t>فولاد کربنی گالوانیزه، استیل A2، استیل A4</t>
        </is>
      </c>
      <c r="M46" s="4" t="inlineStr">
        <is>
          <t>واشر تخت پهن مخصوص اتصالات چوبی، واشر چوب با قطر بیرونی بزرگ</t>
        </is>
      </c>
      <c r="N46" s="2" t="n">
        <v>15</v>
      </c>
      <c r="O46" s="2" t="inlineStr">
        <is>
          <t>دارد</t>
        </is>
      </c>
      <c r="P46" s="2" t="inlineStr">
        <is>
          <t>دارد</t>
        </is>
      </c>
      <c r="Q46" s="2" t="inlineStr">
        <is>
          <t>دارد</t>
        </is>
      </c>
    </row>
    <row r="47">
      <c r="A47" s="2" t="n">
        <v>46</v>
      </c>
      <c r="B47" s="2" t="inlineStr">
        <is>
          <t>DIN</t>
        </is>
      </c>
      <c r="C47" s="3" t="inlineStr">
        <is>
          <t>DIN 440 V</t>
        </is>
      </c>
      <c r="D47" s="4" t="inlineStr">
        <is>
          <t>واشر سازهٔ چوبی (سوراخ چهارگوش)</t>
        </is>
      </c>
      <c r="E47" s="4" t="inlineStr">
        <is>
          <t>Washers for timber constructions, square hole</t>
        </is>
      </c>
      <c r="F47" s="4" t="inlineStr">
        <is>
          <t>واشر</t>
        </is>
      </c>
      <c r="G47" s="2" t="n">
        <v>2</v>
      </c>
      <c r="H47" s="4" t="inlineStr">
        <is>
          <t>DIN 440V</t>
        </is>
      </c>
      <c r="I47" s="4" t="inlineStr">
        <is>
          <t>ISO 7094، CSN 021728</t>
        </is>
      </c>
      <c r="J47" s="4" t="inlineStr">
        <is>
          <t>M5 – M22</t>
        </is>
      </c>
      <c r="K47" s="2" t="n">
        <v>8</v>
      </c>
      <c r="L47" s="4" t="inlineStr">
        <is>
          <t>فولاد کربنی گالوانیزه، استیل A2، استیل A4</t>
        </is>
      </c>
      <c r="M47" s="4" t="inlineStr">
        <is>
          <t>واشر تخت پهن مخصوص اتصالات چوبی، واشر چوب با قطر بیرونی بزرگ</t>
        </is>
      </c>
      <c r="N47" s="2" t="n">
        <v>8</v>
      </c>
      <c r="O47" s="2" t="inlineStr">
        <is>
          <t>دارد</t>
        </is>
      </c>
      <c r="P47" s="2" t="inlineStr">
        <is>
          <t>دارد</t>
        </is>
      </c>
      <c r="Q47" s="2" t="inlineStr">
        <is>
          <t>دارد</t>
        </is>
      </c>
    </row>
    <row r="48">
      <c r="A48" s="2" t="n">
        <v>47</v>
      </c>
      <c r="B48" s="2" t="inlineStr">
        <is>
          <t>DIN</t>
        </is>
      </c>
      <c r="C48" s="3" t="inlineStr">
        <is>
          <t>DIN 443</t>
        </is>
      </c>
      <c r="D48" s="4" t="inlineStr">
        <is>
          <t>درپوش فلزی</t>
        </is>
      </c>
      <c r="E48" s="4" t="inlineStr">
        <is>
          <t>Sealing caps (cover plates)</t>
        </is>
      </c>
      <c r="F48" s="4" t="inlineStr">
        <is>
          <t>سایر اتصالات و یراق</t>
        </is>
      </c>
      <c r="G48" s="2" t="n">
        <v>3</v>
      </c>
      <c r="H48" s="4" t="inlineStr">
        <is>
          <t>DIN 443</t>
        </is>
      </c>
      <c r="I48" s="4" t="inlineStr"/>
      <c r="J48" s="4" t="inlineStr">
        <is>
          <t>8 – 63</t>
        </is>
      </c>
      <c r="K48" s="2" t="n">
        <v>34</v>
      </c>
      <c r="L48" s="4" t="inlineStr">
        <is>
          <t>فولاد کربنی، استیل (فولاد ضدزنگ)، برنج</t>
        </is>
      </c>
      <c r="M48" s="4" t="inlineStr">
        <is>
          <t>درپوش فلزی فشاری سوراخ، پولکی کورکن، درپوش انبساطی محدب</t>
        </is>
      </c>
      <c r="N48" s="2" t="n">
        <v>34</v>
      </c>
      <c r="O48" s="2" t="inlineStr">
        <is>
          <t>دارد</t>
        </is>
      </c>
      <c r="P48" s="2" t="inlineStr">
        <is>
          <t>دارد</t>
        </is>
      </c>
      <c r="Q48" s="2" t="inlineStr">
        <is>
          <t>دارد</t>
        </is>
      </c>
    </row>
    <row r="49">
      <c r="A49" s="2" t="n">
        <v>48</v>
      </c>
      <c r="B49" s="2" t="inlineStr">
        <is>
          <t>DIN</t>
        </is>
      </c>
      <c r="C49" s="3" t="inlineStr">
        <is>
          <t>DIN 444</t>
        </is>
      </c>
      <c r="D49" s="4" t="inlineStr">
        <is>
          <t>پیچ چشمی</t>
        </is>
      </c>
      <c r="E49" s="4" t="inlineStr">
        <is>
          <t>Eyebolts</t>
        </is>
      </c>
      <c r="F49" s="4" t="inlineStr">
        <is>
          <t>اتصالات بالابری و مهارکش</t>
        </is>
      </c>
      <c r="G49" s="2" t="n">
        <v>1</v>
      </c>
      <c r="H49" s="4" t="inlineStr">
        <is>
          <t>DIN 444</t>
        </is>
      </c>
      <c r="I49" s="4" t="inlineStr">
        <is>
          <t>CSN 021167، PN 82425، UNI 6058</t>
        </is>
      </c>
      <c r="J49" s="4" t="inlineStr">
        <is>
          <t>M5 – M39</t>
        </is>
      </c>
      <c r="K49" s="2" t="n">
        <v>13</v>
      </c>
      <c r="L49" s="4" t="inlineStr">
        <is>
          <t>فولاد 6.8، فولاد 8.8، استیل A2-70، استیل A4-70</t>
        </is>
      </c>
      <c r="M49" s="4" t="inlineStr"/>
      <c r="N49" s="2" t="n">
        <v>157</v>
      </c>
      <c r="O49" s="2" t="inlineStr">
        <is>
          <t>دارد</t>
        </is>
      </c>
      <c r="P49" s="2" t="inlineStr">
        <is>
          <t>دارد</t>
        </is>
      </c>
      <c r="Q49" s="2" t="inlineStr">
        <is>
          <t>دارد</t>
        </is>
      </c>
    </row>
    <row r="50">
      <c r="A50" s="2" t="n">
        <v>49</v>
      </c>
      <c r="B50" s="2" t="inlineStr">
        <is>
          <t>DIN</t>
        </is>
      </c>
      <c r="C50" s="3" t="inlineStr">
        <is>
          <t>DIN 462</t>
        </is>
      </c>
      <c r="D50" s="4" t="inlineStr">
        <is>
          <t>واشر قفلی با زبانهٔ داخلی</t>
        </is>
      </c>
      <c r="E50" s="4" t="inlineStr">
        <is>
          <t>Retaining plate with internal nose</t>
        </is>
      </c>
      <c r="F50" s="4" t="inlineStr">
        <is>
          <t>واشر</t>
        </is>
      </c>
      <c r="G50" s="2" t="n">
        <v>3</v>
      </c>
      <c r="H50" s="4" t="inlineStr">
        <is>
          <t>DIN 462</t>
        </is>
      </c>
      <c r="I50" s="4" t="inlineStr">
        <is>
          <t>PN 82016</t>
        </is>
      </c>
      <c r="J50" s="4" t="inlineStr">
        <is>
          <t>6 – 200</t>
        </is>
      </c>
      <c r="K50" s="2" t="n">
        <v>49</v>
      </c>
      <c r="L50" s="4" t="inlineStr">
        <is>
          <t>فولاد کربنی گالوانیزه، استیل A2، استیل A4</t>
        </is>
      </c>
      <c r="M50" s="4" t="inlineStr">
        <is>
          <t>واشر تخت پهن مخصوص اتصالات چوبی با سوراخ چهار گوش، واشر چوب با قطر بیرونی بزرگ</t>
        </is>
      </c>
      <c r="N50" s="2" t="n">
        <v>49</v>
      </c>
      <c r="O50" s="2" t="inlineStr">
        <is>
          <t>دارد</t>
        </is>
      </c>
      <c r="P50" s="2" t="inlineStr">
        <is>
          <t>دارد</t>
        </is>
      </c>
      <c r="Q50" s="2" t="inlineStr">
        <is>
          <t>دارد</t>
        </is>
      </c>
    </row>
    <row r="51">
      <c r="A51" s="2" t="n">
        <v>50</v>
      </c>
      <c r="B51" s="2" t="inlineStr">
        <is>
          <t>DIN</t>
        </is>
      </c>
      <c r="C51" s="3" t="inlineStr">
        <is>
          <t>DIN 463</t>
        </is>
      </c>
      <c r="D51" s="4" t="inlineStr">
        <is>
          <t>واشر زبانه‌دار (زبانهٔ بلند و کوتاه)</t>
        </is>
      </c>
      <c r="E51" s="4" t="inlineStr">
        <is>
          <t>Tab Washers With Long And Short Tab</t>
        </is>
      </c>
      <c r="F51" s="4" t="inlineStr">
        <is>
          <t>واشر</t>
        </is>
      </c>
      <c r="G51" s="2" t="n">
        <v>3</v>
      </c>
      <c r="H51" s="4" t="inlineStr"/>
      <c r="I51" s="4" t="inlineStr">
        <is>
          <t>PN 82022، UNI 1747</t>
        </is>
      </c>
      <c r="J51" s="4" t="inlineStr">
        <is>
          <t>M4 – M39</t>
        </is>
      </c>
      <c r="K51" s="2" t="n">
        <v>17</v>
      </c>
      <c r="L51" s="4" t="inlineStr">
        <is>
          <t>فولاد کربنی گالوانیزه، استیل A2، استیل A4</t>
        </is>
      </c>
      <c r="M51" s="4" t="inlineStr">
        <is>
          <t>واشر قفلی زبانه‌دار مخصوص مهره های شیاردار، واشر قفلی مهره چاکدار</t>
        </is>
      </c>
      <c r="N51" s="2" t="n">
        <v>17</v>
      </c>
      <c r="O51" s="2" t="inlineStr">
        <is>
          <t>دارد</t>
        </is>
      </c>
      <c r="P51" s="2" t="inlineStr">
        <is>
          <t>دارد</t>
        </is>
      </c>
      <c r="Q51" s="2" t="inlineStr">
        <is>
          <t>دارد</t>
        </is>
      </c>
    </row>
    <row r="52">
      <c r="A52" s="2" t="n">
        <v>51</v>
      </c>
      <c r="B52" s="2" t="inlineStr">
        <is>
          <t>DIN</t>
        </is>
      </c>
      <c r="C52" s="3" t="inlineStr">
        <is>
          <t>DIN 464</t>
        </is>
      </c>
      <c r="D52" s="4" t="inlineStr">
        <is>
          <t>پیچ سرآج‌دار بلند</t>
        </is>
      </c>
      <c r="E52" s="4" t="inlineStr">
        <is>
          <t>Knurled thumb screws, high type</t>
        </is>
      </c>
      <c r="F52" s="4" t="inlineStr">
        <is>
          <t>پیچ سرخاص و کالسکه</t>
        </is>
      </c>
      <c r="G52" s="2" t="n">
        <v>3</v>
      </c>
      <c r="H52" s="4" t="inlineStr">
        <is>
          <t>DIN 464</t>
        </is>
      </c>
      <c r="I52" s="4" t="inlineStr">
        <is>
          <t>CSN 021161، PN 82456</t>
        </is>
      </c>
      <c r="J52" s="4" t="inlineStr">
        <is>
          <t>M1 – M10</t>
        </is>
      </c>
      <c r="K52" s="2" t="n">
        <v>13</v>
      </c>
      <c r="L52" s="4" t="inlineStr">
        <is>
          <t>فولاد، استیل A2، استیل A4</t>
        </is>
      </c>
      <c r="M52" s="4" t="inlineStr">
        <is>
          <t>پیچ ریگلاژی، پیچ دستی اج‌دار</t>
        </is>
      </c>
      <c r="N52" s="2" t="n">
        <v>90</v>
      </c>
      <c r="O52" s="2" t="inlineStr">
        <is>
          <t>دارد</t>
        </is>
      </c>
      <c r="P52" s="2" t="inlineStr">
        <is>
          <t>دارد</t>
        </is>
      </c>
      <c r="Q52" s="2" t="inlineStr">
        <is>
          <t>دارد</t>
        </is>
      </c>
    </row>
    <row r="53">
      <c r="A53" s="2" t="n">
        <v>52</v>
      </c>
      <c r="B53" s="2" t="inlineStr">
        <is>
          <t>DIN</t>
        </is>
      </c>
      <c r="C53" s="3" t="inlineStr">
        <is>
          <t>DIN 465</t>
        </is>
      </c>
      <c r="D53" s="4" t="inlineStr">
        <is>
          <t>پیچ سرآج‌دار شیاردار</t>
        </is>
      </c>
      <c r="E53" s="4" t="inlineStr">
        <is>
          <t>Knurled thumb screws</t>
        </is>
      </c>
      <c r="F53" s="4" t="inlineStr">
        <is>
          <t>پیچ سرخاص و کالسکه</t>
        </is>
      </c>
      <c r="G53" s="2" t="n">
        <v>3</v>
      </c>
      <c r="H53" s="4" t="inlineStr"/>
      <c r="I53" s="4" t="inlineStr"/>
      <c r="J53" s="4" t="inlineStr">
        <is>
          <t>M3 – M6</t>
        </is>
      </c>
      <c r="K53" s="2" t="n">
        <v>4</v>
      </c>
      <c r="L53" s="4" t="inlineStr">
        <is>
          <t>فولاد، استیل A2، استیل A4</t>
        </is>
      </c>
      <c r="M53" s="4" t="inlineStr">
        <is>
          <t>پیچ ریگلاژی شیاردار، پیچ دستی اج‌دار شیار‌دار</t>
        </is>
      </c>
      <c r="N53" s="2" t="n">
        <v>25</v>
      </c>
      <c r="O53" s="2" t="inlineStr">
        <is>
          <t>دارد</t>
        </is>
      </c>
      <c r="P53" s="2" t="inlineStr">
        <is>
          <t>دارد</t>
        </is>
      </c>
      <c r="Q53" s="2" t="inlineStr">
        <is>
          <t>دارد</t>
        </is>
      </c>
    </row>
    <row r="54">
      <c r="A54" s="2" t="n">
        <v>53</v>
      </c>
      <c r="B54" s="2" t="inlineStr">
        <is>
          <t>DIN</t>
        </is>
      </c>
      <c r="C54" s="3" t="inlineStr">
        <is>
          <t>DIN 466</t>
        </is>
      </c>
      <c r="D54" s="4" t="inlineStr">
        <is>
          <t>مهره آج‌دار بلند</t>
        </is>
      </c>
      <c r="E54" s="4" t="inlineStr">
        <is>
          <t>Knurled nuts, high type</t>
        </is>
      </c>
      <c r="F54" s="4" t="inlineStr">
        <is>
          <t>مهره</t>
        </is>
      </c>
      <c r="G54" s="2" t="n">
        <v>3</v>
      </c>
      <c r="H54" s="4" t="inlineStr">
        <is>
          <t>DIN 466</t>
        </is>
      </c>
      <c r="I54" s="4" t="inlineStr">
        <is>
          <t>CSN 021461، PN 82461، UNI 6605</t>
        </is>
      </c>
      <c r="J54" s="4" t="inlineStr">
        <is>
          <t>M1 – M10</t>
        </is>
      </c>
      <c r="K54" s="2" t="n">
        <v>12</v>
      </c>
      <c r="L54" s="4" t="inlineStr">
        <is>
          <t>فولاد گالوانیزه، استیل A2-70، استیل A4-70</t>
        </is>
      </c>
      <c r="M54" s="4" t="inlineStr">
        <is>
          <t>مهره ریگلاژی، مهره دستی اجدار</t>
        </is>
      </c>
      <c r="N54" s="2" t="n">
        <v>12</v>
      </c>
      <c r="O54" s="2" t="inlineStr">
        <is>
          <t>دارد</t>
        </is>
      </c>
      <c r="P54" s="2" t="inlineStr">
        <is>
          <t>دارد</t>
        </is>
      </c>
      <c r="Q54" s="2" t="inlineStr">
        <is>
          <t>دارد</t>
        </is>
      </c>
    </row>
    <row r="55">
      <c r="A55" s="2" t="n">
        <v>54</v>
      </c>
      <c r="B55" s="2" t="inlineStr">
        <is>
          <t>DIN</t>
        </is>
      </c>
      <c r="C55" s="3" t="inlineStr">
        <is>
          <t>DIN 467</t>
        </is>
      </c>
      <c r="D55" s="4" t="inlineStr">
        <is>
          <t>مهره آج‌دار کوتاه</t>
        </is>
      </c>
      <c r="E55" s="4" t="inlineStr">
        <is>
          <t>Knurled nuts, low type</t>
        </is>
      </c>
      <c r="F55" s="4" t="inlineStr">
        <is>
          <t>مهره</t>
        </is>
      </c>
      <c r="G55" s="2" t="n">
        <v>3</v>
      </c>
      <c r="H55" s="4" t="inlineStr">
        <is>
          <t>DIN 467</t>
        </is>
      </c>
      <c r="I55" s="4" t="inlineStr">
        <is>
          <t>CSN 021462، PN 82462، UNI 6603</t>
        </is>
      </c>
      <c r="J55" s="4" t="inlineStr">
        <is>
          <t>M2 – M10</t>
        </is>
      </c>
      <c r="K55" s="2" t="n">
        <v>8</v>
      </c>
      <c r="L55" s="4" t="inlineStr">
        <is>
          <t>فولاد گالوانیزه، استیل A2-70، استیل A4-70</t>
        </is>
      </c>
      <c r="M55" s="4" t="inlineStr">
        <is>
          <t>مهره ریگلاژی، مهره دستی اجدار</t>
        </is>
      </c>
      <c r="N55" s="2" t="n">
        <v>8</v>
      </c>
      <c r="O55" s="2" t="inlineStr">
        <is>
          <t>دارد</t>
        </is>
      </c>
      <c r="P55" s="2" t="inlineStr">
        <is>
          <t>دارد</t>
        </is>
      </c>
      <c r="Q55" s="2" t="inlineStr">
        <is>
          <t>دارد</t>
        </is>
      </c>
    </row>
    <row r="56">
      <c r="A56" s="2" t="n">
        <v>55</v>
      </c>
      <c r="B56" s="2" t="inlineStr">
        <is>
          <t>DIN</t>
        </is>
      </c>
      <c r="C56" s="3" t="inlineStr">
        <is>
          <t>DIN 470</t>
        </is>
      </c>
      <c r="D56" s="4" t="inlineStr">
        <is>
          <t>واشر آب بندی</t>
        </is>
      </c>
      <c r="E56" s="4" t="inlineStr">
        <is>
          <t>Sealing washer</t>
        </is>
      </c>
      <c r="F56" s="4" t="inlineStr">
        <is>
          <t>واشر</t>
        </is>
      </c>
      <c r="G56" s="2" t="n">
        <v>3</v>
      </c>
      <c r="H56" s="4" t="inlineStr">
        <is>
          <t>DIN 470</t>
        </is>
      </c>
      <c r="I56" s="4" t="inlineStr">
        <is>
          <t>UNI 1663</t>
        </is>
      </c>
      <c r="J56" s="4" t="inlineStr">
        <is>
          <t>3 – 125</t>
        </is>
      </c>
      <c r="K56" s="2" t="n">
        <v>31</v>
      </c>
      <c r="L56" s="4" t="inlineStr">
        <is>
          <t>فولاد کربنی، استیل A2، استیل A4</t>
        </is>
      </c>
      <c r="M56" s="4" t="inlineStr"/>
      <c r="N56" s="2" t="n">
        <v>31</v>
      </c>
      <c r="O56" s="2" t="inlineStr">
        <is>
          <t>دارد</t>
        </is>
      </c>
      <c r="P56" s="2" t="inlineStr">
        <is>
          <t>دارد</t>
        </is>
      </c>
      <c r="Q56" s="2" t="inlineStr">
        <is>
          <t>دارد</t>
        </is>
      </c>
    </row>
    <row r="57">
      <c r="A57" s="2" t="n">
        <v>56</v>
      </c>
      <c r="B57" s="2" t="inlineStr">
        <is>
          <t>DIN</t>
        </is>
      </c>
      <c r="C57" s="3" t="inlineStr">
        <is>
          <t>DIN 471</t>
        </is>
      </c>
      <c r="D57" s="4" t="inlineStr">
        <is>
          <t>خار محور (خار بیرونی)</t>
        </is>
      </c>
      <c r="E57" s="4" t="inlineStr">
        <is>
          <t>Retaining rings for shafts</t>
        </is>
      </c>
      <c r="F57" s="4" t="inlineStr">
        <is>
          <t>خار</t>
        </is>
      </c>
      <c r="G57" s="2" t="n">
        <v>1</v>
      </c>
      <c r="H57" s="4" t="inlineStr">
        <is>
          <t>DIN 471</t>
        </is>
      </c>
      <c r="I57" s="4" t="inlineStr">
        <is>
          <t>CSN 022930، PN 85111، UNI 7435</t>
        </is>
      </c>
      <c r="J57" s="4" t="inlineStr">
        <is>
          <t>3 – 300</t>
        </is>
      </c>
      <c r="K57" s="2" t="n">
        <v>86</v>
      </c>
      <c r="L57" s="4" t="inlineStr">
        <is>
          <t>فولاد فنری C67S، C75S، استیل فنری 1.4310، 1.4122</t>
        </is>
      </c>
      <c r="M57" s="4" t="inlineStr">
        <is>
          <t>خار رینگی، خار دوچشم(بیرون شفت)</t>
        </is>
      </c>
      <c r="N57" s="2" t="n">
        <v>86</v>
      </c>
      <c r="O57" s="2" t="inlineStr">
        <is>
          <t>دارد</t>
        </is>
      </c>
      <c r="P57" s="2" t="inlineStr">
        <is>
          <t>دارد</t>
        </is>
      </c>
      <c r="Q57" s="2" t="inlineStr">
        <is>
          <t>دارد</t>
        </is>
      </c>
    </row>
    <row r="58">
      <c r="A58" s="2" t="n">
        <v>57</v>
      </c>
      <c r="B58" s="2" t="inlineStr">
        <is>
          <t>DIN</t>
        </is>
      </c>
      <c r="C58" s="3" t="inlineStr">
        <is>
          <t>DIN 472</t>
        </is>
      </c>
      <c r="D58" s="4" t="inlineStr">
        <is>
          <t>خار سوراخ (خار داخلی)</t>
        </is>
      </c>
      <c r="E58" s="4" t="inlineStr">
        <is>
          <t>Retaining rings for bores</t>
        </is>
      </c>
      <c r="F58" s="4" t="inlineStr">
        <is>
          <t>خار</t>
        </is>
      </c>
      <c r="G58" s="2" t="n">
        <v>1</v>
      </c>
      <c r="H58" s="4" t="inlineStr">
        <is>
          <t>DIN 472</t>
        </is>
      </c>
      <c r="I58" s="4" t="inlineStr">
        <is>
          <t>CSN 022931، PN 85111، UNI 7437</t>
        </is>
      </c>
      <c r="J58" s="4" t="inlineStr">
        <is>
          <t>8 – 300</t>
        </is>
      </c>
      <c r="K58" s="2" t="n">
        <v>88</v>
      </c>
      <c r="L58" s="4" t="inlineStr">
        <is>
          <t>فولاد فنری C67S، C75S، استیل فنری 1.4310، 1.4122</t>
        </is>
      </c>
      <c r="M58" s="4" t="inlineStr">
        <is>
          <t>خار رینگی، خار دوچشم ( داخل شفت)</t>
        </is>
      </c>
      <c r="N58" s="2" t="n">
        <v>88</v>
      </c>
      <c r="O58" s="2" t="inlineStr">
        <is>
          <t>دارد</t>
        </is>
      </c>
      <c r="P58" s="2" t="inlineStr">
        <is>
          <t>دارد</t>
        </is>
      </c>
      <c r="Q58" s="2" t="inlineStr">
        <is>
          <t>دارد</t>
        </is>
      </c>
    </row>
    <row r="59">
      <c r="A59" s="2" t="n">
        <v>58</v>
      </c>
      <c r="B59" s="2" t="inlineStr">
        <is>
          <t>DIN</t>
        </is>
      </c>
      <c r="C59" s="3" t="inlineStr">
        <is>
          <t>DIN 478</t>
        </is>
      </c>
      <c r="D59" s="4" t="inlineStr">
        <is>
          <t>پیچ سرچهارگوش یقه‌دار</t>
        </is>
      </c>
      <c r="E59" s="4" t="inlineStr">
        <is>
          <t>Square Head Bolts with collar</t>
        </is>
      </c>
      <c r="F59" s="4" t="inlineStr">
        <is>
          <t>پیچ سرخاص و کالسکه</t>
        </is>
      </c>
      <c r="G59" s="2" t="n">
        <v>3</v>
      </c>
      <c r="H59" s="4" t="inlineStr">
        <is>
          <t>DIN 478</t>
        </is>
      </c>
      <c r="I59" s="4" t="inlineStr">
        <is>
          <t>CSN 021122، PN 82301</t>
        </is>
      </c>
      <c r="J59" s="4" t="inlineStr">
        <is>
          <t>M5 – M24</t>
        </is>
      </c>
      <c r="K59" s="2" t="n">
        <v>8</v>
      </c>
      <c r="L59" s="4" t="inlineStr">
        <is>
          <t>فولاد 5.8، فولاد 8.8، استیل A2-70، استیل A4-70</t>
        </is>
      </c>
      <c r="M59" s="4" t="inlineStr">
        <is>
          <t>پیچ سر چهارگوش واشردار</t>
        </is>
      </c>
      <c r="N59" s="2" t="n">
        <v>83</v>
      </c>
      <c r="O59" s="2" t="inlineStr">
        <is>
          <t>دارد</t>
        </is>
      </c>
      <c r="P59" s="2" t="inlineStr">
        <is>
          <t>دارد</t>
        </is>
      </c>
      <c r="Q59" s="2" t="inlineStr">
        <is>
          <t>دارد</t>
        </is>
      </c>
    </row>
    <row r="60">
      <c r="A60" s="2" t="n">
        <v>59</v>
      </c>
      <c r="B60" s="2" t="inlineStr">
        <is>
          <t>DIN</t>
        </is>
      </c>
      <c r="C60" s="3" t="inlineStr">
        <is>
          <t>DIN 479</t>
        </is>
      </c>
      <c r="D60" s="4" t="inlineStr">
        <is>
          <t>پیچ سرچهارگوش نوک پین</t>
        </is>
      </c>
      <c r="E60" s="4" t="inlineStr">
        <is>
          <t>Square head bolts with short dog point</t>
        </is>
      </c>
      <c r="F60" s="4" t="inlineStr">
        <is>
          <t>پیچ سرخاص و کالسکه</t>
        </is>
      </c>
      <c r="G60" s="2" t="n">
        <v>3</v>
      </c>
      <c r="H60" s="4" t="inlineStr">
        <is>
          <t>DIN 479</t>
        </is>
      </c>
      <c r="I60" s="4" t="inlineStr">
        <is>
          <t>CSN 021121، PN 82307</t>
        </is>
      </c>
      <c r="J60" s="4" t="inlineStr">
        <is>
          <t>M5 – M24</t>
        </is>
      </c>
      <c r="K60" s="2" t="n">
        <v>8</v>
      </c>
      <c r="L60" s="4" t="inlineStr">
        <is>
          <t>فولاد 5.8، فولاد 8.8، استیل A2-70، استیل A4-70</t>
        </is>
      </c>
      <c r="M60" s="4" t="inlineStr">
        <is>
          <t>پیچ سر چهار گوش نوک خلاصی</t>
        </is>
      </c>
      <c r="N60" s="2" t="n">
        <v>79</v>
      </c>
      <c r="O60" s="2" t="inlineStr">
        <is>
          <t>دارد</t>
        </is>
      </c>
      <c r="P60" s="2" t="inlineStr">
        <is>
          <t>دارد</t>
        </is>
      </c>
      <c r="Q60" s="2" t="inlineStr">
        <is>
          <t>دارد</t>
        </is>
      </c>
    </row>
    <row r="61">
      <c r="A61" s="2" t="n">
        <v>60</v>
      </c>
      <c r="B61" s="2" t="inlineStr">
        <is>
          <t>DIN</t>
        </is>
      </c>
      <c r="C61" s="3" t="inlineStr">
        <is>
          <t>DIN 480</t>
        </is>
      </c>
      <c r="D61" s="4" t="inlineStr">
        <is>
          <t>پیچ سرچهارگوش یقه‌دار نوک‌دار</t>
        </is>
      </c>
      <c r="E61" s="4" t="inlineStr">
        <is>
          <t>Square head bolts with collar and tip approach</t>
        </is>
      </c>
      <c r="F61" s="4" t="inlineStr">
        <is>
          <t>پیچ سرخاص و کالسکه</t>
        </is>
      </c>
      <c r="G61" s="2" t="n">
        <v>3</v>
      </c>
      <c r="H61" s="4" t="inlineStr">
        <is>
          <t>DIN 480</t>
        </is>
      </c>
      <c r="I61" s="4" t="inlineStr">
        <is>
          <t>CSN 021122، PN 82308</t>
        </is>
      </c>
      <c r="J61" s="4" t="inlineStr">
        <is>
          <t>M8 – M24</t>
        </is>
      </c>
      <c r="K61" s="2" t="n">
        <v>6</v>
      </c>
      <c r="L61" s="4" t="inlineStr">
        <is>
          <t>فولاد 5.8، فولاد 8.8، استیل A2-70، استیل A4-70</t>
        </is>
      </c>
      <c r="M61" s="4" t="inlineStr">
        <is>
          <t>پیچ سر چهارگوش واشردار نوک خلاصی</t>
        </is>
      </c>
      <c r="N61" s="2" t="n">
        <v>39</v>
      </c>
      <c r="O61" s="2" t="inlineStr">
        <is>
          <t>دارد</t>
        </is>
      </c>
      <c r="P61" s="2" t="inlineStr">
        <is>
          <t>دارد</t>
        </is>
      </c>
      <c r="Q61" s="2" t="inlineStr">
        <is>
          <t>دارد</t>
        </is>
      </c>
    </row>
    <row r="62">
      <c r="A62" s="2" t="n">
        <v>61</v>
      </c>
      <c r="B62" s="2" t="inlineStr">
        <is>
          <t>DIN</t>
        </is>
      </c>
      <c r="C62" s="3" t="inlineStr">
        <is>
          <t>DIN 508</t>
        </is>
      </c>
      <c r="D62" s="4" t="inlineStr">
        <is>
          <t>مهره شیار T</t>
        </is>
      </c>
      <c r="E62" s="4" t="inlineStr">
        <is>
          <t>Nuts for T-slots</t>
        </is>
      </c>
      <c r="F62" s="4" t="inlineStr">
        <is>
          <t>مهره</t>
        </is>
      </c>
      <c r="G62" s="2" t="n">
        <v>2</v>
      </c>
      <c r="H62" s="4" t="inlineStr">
        <is>
          <t>DIN 508</t>
        </is>
      </c>
      <c r="I62" s="4" t="inlineStr">
        <is>
          <t>ISO 299، CSN 021529، PN 61275</t>
        </is>
      </c>
      <c r="J62" s="4" t="inlineStr">
        <is>
          <t>M4 – M48</t>
        </is>
      </c>
      <c r="K62" s="2" t="n">
        <v>13</v>
      </c>
      <c r="L62" s="4" t="inlineStr">
        <is>
          <t>کلاس 8، کلاس 10، استیل A2، استیل A4، سفارشی (طبق نقشه)</t>
        </is>
      </c>
      <c r="M62" s="4" t="inlineStr">
        <is>
          <t>مهره مخصوص شیار T میز دستگاه</t>
        </is>
      </c>
      <c r="N62" s="2" t="n">
        <v>13</v>
      </c>
      <c r="O62" s="2" t="inlineStr">
        <is>
          <t>دارد</t>
        </is>
      </c>
      <c r="P62" s="2" t="inlineStr">
        <is>
          <t>دارد</t>
        </is>
      </c>
      <c r="Q62" s="2" t="inlineStr">
        <is>
          <t>دارد</t>
        </is>
      </c>
    </row>
    <row r="63">
      <c r="A63" s="2" t="n">
        <v>62</v>
      </c>
      <c r="B63" s="2" t="inlineStr">
        <is>
          <t>DIN</t>
        </is>
      </c>
      <c r="C63" s="3" t="inlineStr">
        <is>
          <t>DIN 525</t>
        </is>
      </c>
      <c r="D63" s="4" t="inlineStr">
        <is>
          <t>پیچ جوشی (استاد جوشی)</t>
        </is>
      </c>
      <c r="E63" s="4" t="inlineStr">
        <is>
          <t>Welding studs</t>
        </is>
      </c>
      <c r="F63" s="4" t="inlineStr">
        <is>
          <t>استاد بولت و میل‌رزوه</t>
        </is>
      </c>
      <c r="G63" s="2" t="n">
        <v>3</v>
      </c>
      <c r="H63" s="4" t="inlineStr">
        <is>
          <t>DIN 525</t>
        </is>
      </c>
      <c r="I63" s="4" t="inlineStr">
        <is>
          <t>CSN 021399، PN 82416</t>
        </is>
      </c>
      <c r="J63" s="4" t="inlineStr">
        <is>
          <t>M6 – M48</t>
        </is>
      </c>
      <c r="K63" s="2" t="n">
        <v>11</v>
      </c>
      <c r="L63" s="4" t="inlineStr"/>
      <c r="M63" s="4" t="inlineStr"/>
      <c r="N63" s="2" t="n">
        <v>0</v>
      </c>
      <c r="O63" s="2" t="inlineStr">
        <is>
          <t>دارد</t>
        </is>
      </c>
      <c r="P63" s="2" t="inlineStr">
        <is>
          <t>دارد</t>
        </is>
      </c>
      <c r="Q63" s="2" t="inlineStr">
        <is>
          <t>دارد</t>
        </is>
      </c>
    </row>
    <row r="64">
      <c r="A64" s="2" t="n">
        <v>63</v>
      </c>
      <c r="B64" s="2" t="inlineStr">
        <is>
          <t>DIN</t>
        </is>
      </c>
      <c r="C64" s="3" t="inlineStr">
        <is>
          <t>DIN 529 A</t>
        </is>
      </c>
      <c r="D64" s="4" t="inlineStr">
        <is>
          <t>پیچ فونداسیون فرم A</t>
        </is>
      </c>
      <c r="E64" s="4" t="inlineStr">
        <is>
          <t>Foundation (anchor) bolts, Form A</t>
        </is>
      </c>
      <c r="F64" s="4" t="inlineStr">
        <is>
          <t>استاد بولت و میل‌رزوه</t>
        </is>
      </c>
      <c r="G64" s="2" t="n">
        <v>2</v>
      </c>
      <c r="H64" s="4" t="inlineStr">
        <is>
          <t>DIN 529A</t>
        </is>
      </c>
      <c r="I64" s="4" t="inlineStr">
        <is>
          <t>CSN 021391</t>
        </is>
      </c>
      <c r="J64" s="4" t="inlineStr">
        <is>
          <t>M8 – M72X6</t>
        </is>
      </c>
      <c r="K64" s="2" t="n">
        <v>13</v>
      </c>
      <c r="L64" s="4" t="inlineStr">
        <is>
          <t>فولاد 4.6، فولاد 5.6، فولاد 8.8، استیل A2-70، استیل A4-70</t>
        </is>
      </c>
      <c r="M64" s="4" t="inlineStr">
        <is>
          <t>انکر بولت علامت سوالی، پیچ مهاری</t>
        </is>
      </c>
      <c r="N64" s="2" t="n">
        <v>80</v>
      </c>
      <c r="O64" s="2" t="inlineStr">
        <is>
          <t>دارد</t>
        </is>
      </c>
      <c r="P64" s="2" t="inlineStr">
        <is>
          <t>دارد</t>
        </is>
      </c>
      <c r="Q64" s="2" t="inlineStr">
        <is>
          <t>دارد</t>
        </is>
      </c>
    </row>
    <row r="65">
      <c r="A65" s="2" t="n">
        <v>64</v>
      </c>
      <c r="B65" s="2" t="inlineStr">
        <is>
          <t>DIN</t>
        </is>
      </c>
      <c r="C65" s="3" t="inlineStr">
        <is>
          <t>DIN 529 B</t>
        </is>
      </c>
      <c r="D65" s="4" t="inlineStr">
        <is>
          <t>پیچ فونداسیون فرم B</t>
        </is>
      </c>
      <c r="E65" s="4" t="inlineStr">
        <is>
          <t>Foundation (anchor) bolts, Form B</t>
        </is>
      </c>
      <c r="F65" s="4" t="inlineStr">
        <is>
          <t>استاد بولت و میل‌رزوه</t>
        </is>
      </c>
      <c r="G65" s="2" t="n">
        <v>2</v>
      </c>
      <c r="H65" s="4" t="inlineStr">
        <is>
          <t>DIN 529</t>
        </is>
      </c>
      <c r="I65" s="4" t="inlineStr">
        <is>
          <t>CSN 021391</t>
        </is>
      </c>
      <c r="J65" s="4" t="inlineStr">
        <is>
          <t>M8 – M72X6</t>
        </is>
      </c>
      <c r="K65" s="2" t="n">
        <v>13</v>
      </c>
      <c r="L65" s="4" t="inlineStr">
        <is>
          <t>فولاد 4.6، فولاد 5.6، فولاد 8.8، استیل A2-70، استیل A4-70</t>
        </is>
      </c>
      <c r="M65" s="4" t="inlineStr">
        <is>
          <t>انکر بولت عصایی، پیچ مهاری</t>
        </is>
      </c>
      <c r="N65" s="2" t="n">
        <v>80</v>
      </c>
      <c r="O65" s="2" t="inlineStr">
        <is>
          <t>دارد</t>
        </is>
      </c>
      <c r="P65" s="2" t="inlineStr">
        <is>
          <t>دارد</t>
        </is>
      </c>
      <c r="Q65" s="2" t="inlineStr">
        <is>
          <t>دارد</t>
        </is>
      </c>
    </row>
    <row r="66">
      <c r="A66" s="2" t="n">
        <v>65</v>
      </c>
      <c r="B66" s="2" t="inlineStr">
        <is>
          <t>DIN</t>
        </is>
      </c>
      <c r="C66" s="3" t="inlineStr">
        <is>
          <t>DIN 529 C</t>
        </is>
      </c>
      <c r="D66" s="4" t="inlineStr">
        <is>
          <t>پیچ فونداسیون فرم C</t>
        </is>
      </c>
      <c r="E66" s="4" t="inlineStr">
        <is>
          <t>Foundation (anchor) bolts, Form C</t>
        </is>
      </c>
      <c r="F66" s="4" t="inlineStr">
        <is>
          <t>استاد بولت و میل‌رزوه</t>
        </is>
      </c>
      <c r="G66" s="2" t="n">
        <v>2</v>
      </c>
      <c r="H66" s="4" t="inlineStr">
        <is>
          <t>DIN 529</t>
        </is>
      </c>
      <c r="I66" s="4" t="inlineStr">
        <is>
          <t>CSN 021391</t>
        </is>
      </c>
      <c r="J66" s="4" t="inlineStr">
        <is>
          <t>M8 – M72X6</t>
        </is>
      </c>
      <c r="K66" s="2" t="n">
        <v>13</v>
      </c>
      <c r="L66" s="4" t="inlineStr">
        <is>
          <t>فولاد 4.6، فولاد 5.6، فولاد 8.8، استیل A2-70، استیل A4-70</t>
        </is>
      </c>
      <c r="M66" s="4" t="inlineStr">
        <is>
          <t>انکر بولت دوشاخ، پیچ مهاری</t>
        </is>
      </c>
      <c r="N66" s="2" t="n">
        <v>80</v>
      </c>
      <c r="O66" s="2" t="inlineStr">
        <is>
          <t>دارد</t>
        </is>
      </c>
      <c r="P66" s="2" t="inlineStr">
        <is>
          <t>دارد</t>
        </is>
      </c>
      <c r="Q66" s="2" t="inlineStr">
        <is>
          <t>دارد</t>
        </is>
      </c>
    </row>
    <row r="67">
      <c r="A67" s="2" t="n">
        <v>66</v>
      </c>
      <c r="B67" s="2" t="inlineStr">
        <is>
          <t>DIN</t>
        </is>
      </c>
      <c r="C67" s="3" t="inlineStr">
        <is>
          <t>DIN 529 D</t>
        </is>
      </c>
      <c r="D67" s="4" t="inlineStr">
        <is>
          <t>پیچ فونداسیون فرم D</t>
        </is>
      </c>
      <c r="E67" s="4" t="inlineStr">
        <is>
          <t>Foundation (anchor) bolts, Form D</t>
        </is>
      </c>
      <c r="F67" s="4" t="inlineStr">
        <is>
          <t>استاد بولت و میل‌رزوه</t>
        </is>
      </c>
      <c r="G67" s="2" t="n">
        <v>2</v>
      </c>
      <c r="H67" s="4" t="inlineStr">
        <is>
          <t>DIN 529</t>
        </is>
      </c>
      <c r="I67" s="4" t="inlineStr">
        <is>
          <t>CSN 021391</t>
        </is>
      </c>
      <c r="J67" s="4" t="inlineStr">
        <is>
          <t>M8 – M72X6</t>
        </is>
      </c>
      <c r="K67" s="2" t="n">
        <v>13</v>
      </c>
      <c r="L67" s="4" t="inlineStr">
        <is>
          <t>فولاد 4.6، فولاد 5.6، فولاد 8.8، استیل A2-70، استیل A4-70</t>
        </is>
      </c>
      <c r="M67" s="4" t="inlineStr">
        <is>
          <t>پیچ مهاری</t>
        </is>
      </c>
      <c r="N67" s="2" t="n">
        <v>80</v>
      </c>
      <c r="O67" s="2" t="inlineStr">
        <is>
          <t>دارد</t>
        </is>
      </c>
      <c r="P67" s="2" t="inlineStr">
        <is>
          <t>دارد</t>
        </is>
      </c>
      <c r="Q67" s="2" t="inlineStr">
        <is>
          <t>دارد</t>
        </is>
      </c>
    </row>
    <row r="68">
      <c r="A68" s="2" t="n">
        <v>67</v>
      </c>
      <c r="B68" s="2" t="inlineStr">
        <is>
          <t>DIN</t>
        </is>
      </c>
      <c r="C68" s="3" t="inlineStr">
        <is>
          <t>DIN 529 E</t>
        </is>
      </c>
      <c r="D68" s="4" t="inlineStr">
        <is>
          <t>پیچ فونداسیون فرم E</t>
        </is>
      </c>
      <c r="E68" s="4" t="inlineStr">
        <is>
          <t>Foundation (anchor) bolts, Form E</t>
        </is>
      </c>
      <c r="F68" s="4" t="inlineStr">
        <is>
          <t>استاد بولت و میل‌رزوه</t>
        </is>
      </c>
      <c r="G68" s="2" t="n">
        <v>3</v>
      </c>
      <c r="H68" s="4" t="inlineStr">
        <is>
          <t>DIN 529</t>
        </is>
      </c>
      <c r="I68" s="4" t="inlineStr">
        <is>
          <t>CSN 021391</t>
        </is>
      </c>
      <c r="J68" s="4" t="inlineStr">
        <is>
          <t>M8 – M72X6</t>
        </is>
      </c>
      <c r="K68" s="2" t="n">
        <v>13</v>
      </c>
      <c r="L68" s="4" t="inlineStr">
        <is>
          <t>فولاد 4.6، فولاد 5.6، فولاد 8.8، استیل A2-70، استیل A4-70</t>
        </is>
      </c>
      <c r="M68" s="4" t="inlineStr">
        <is>
          <t>پیچ مهاری</t>
        </is>
      </c>
      <c r="N68" s="2" t="n">
        <v>80</v>
      </c>
      <c r="O68" s="2" t="inlineStr">
        <is>
          <t>دارد</t>
        </is>
      </c>
      <c r="P68" s="2" t="inlineStr">
        <is>
          <t>دارد</t>
        </is>
      </c>
      <c r="Q68" s="2" t="inlineStr">
        <is>
          <t>دارد</t>
        </is>
      </c>
    </row>
    <row r="69">
      <c r="A69" s="2" t="n">
        <v>68</v>
      </c>
      <c r="B69" s="2" t="inlineStr">
        <is>
          <t>DIN</t>
        </is>
      </c>
      <c r="C69" s="3" t="inlineStr">
        <is>
          <t>DIN 529 F</t>
        </is>
      </c>
      <c r="D69" s="4" t="inlineStr">
        <is>
          <t>پیچ فونداسیون فرم F</t>
        </is>
      </c>
      <c r="E69" s="4" t="inlineStr">
        <is>
          <t>Foundation (anchor) bolts, Form F</t>
        </is>
      </c>
      <c r="F69" s="4" t="inlineStr">
        <is>
          <t>استاد بولت و میل‌رزوه</t>
        </is>
      </c>
      <c r="G69" s="2" t="n">
        <v>3</v>
      </c>
      <c r="H69" s="4" t="inlineStr">
        <is>
          <t>DIN 529</t>
        </is>
      </c>
      <c r="I69" s="4" t="inlineStr">
        <is>
          <t>CSN 021391</t>
        </is>
      </c>
      <c r="J69" s="4" t="inlineStr">
        <is>
          <t>M8 – M72X6</t>
        </is>
      </c>
      <c r="K69" s="2" t="n">
        <v>13</v>
      </c>
      <c r="L69" s="4" t="inlineStr">
        <is>
          <t>فولاد 4.6، فولاد 5.6، فولاد 8.8، استیل A2-70، استیل A4-70</t>
        </is>
      </c>
      <c r="M69" s="4" t="inlineStr">
        <is>
          <t>پیچ مهاری</t>
        </is>
      </c>
      <c r="N69" s="2" t="n">
        <v>80</v>
      </c>
      <c r="O69" s="2" t="inlineStr">
        <is>
          <t>دارد</t>
        </is>
      </c>
      <c r="P69" s="2" t="inlineStr">
        <is>
          <t>دارد</t>
        </is>
      </c>
      <c r="Q69" s="2" t="inlineStr">
        <is>
          <t>دارد</t>
        </is>
      </c>
    </row>
    <row r="70">
      <c r="A70" s="2" t="n">
        <v>69</v>
      </c>
      <c r="B70" s="2" t="inlineStr">
        <is>
          <t>DIN</t>
        </is>
      </c>
      <c r="C70" s="3" t="inlineStr">
        <is>
          <t>DIN 529 G</t>
        </is>
      </c>
      <c r="D70" s="4" t="inlineStr">
        <is>
          <t>پیچ فونداسیون فرم G</t>
        </is>
      </c>
      <c r="E70" s="4" t="inlineStr">
        <is>
          <t>Foundation (anchor) bolts, Form G</t>
        </is>
      </c>
      <c r="F70" s="4" t="inlineStr">
        <is>
          <t>استاد بولت و میل‌رزوه</t>
        </is>
      </c>
      <c r="G70" s="2" t="n">
        <v>3</v>
      </c>
      <c r="H70" s="4" t="inlineStr">
        <is>
          <t>DIN 529</t>
        </is>
      </c>
      <c r="I70" s="4" t="inlineStr">
        <is>
          <t>CSN 021391</t>
        </is>
      </c>
      <c r="J70" s="4" t="inlineStr">
        <is>
          <t>M8 – M72X6</t>
        </is>
      </c>
      <c r="K70" s="2" t="n">
        <v>13</v>
      </c>
      <c r="L70" s="4" t="inlineStr">
        <is>
          <t>فولاد 4.6، فولاد 5.6، فولاد 8.8، استیل A2-70، استیل A4-70</t>
        </is>
      </c>
      <c r="M70" s="4" t="inlineStr">
        <is>
          <t>پیچ مهاری</t>
        </is>
      </c>
      <c r="N70" s="2" t="n">
        <v>80</v>
      </c>
      <c r="O70" s="2" t="inlineStr">
        <is>
          <t>دارد</t>
        </is>
      </c>
      <c r="P70" s="2" t="inlineStr">
        <is>
          <t>دارد</t>
        </is>
      </c>
      <c r="Q70" s="2" t="inlineStr">
        <is>
          <t>دارد</t>
        </is>
      </c>
    </row>
    <row r="71">
      <c r="A71" s="2" t="n">
        <v>70</v>
      </c>
      <c r="B71" s="2" t="inlineStr">
        <is>
          <t>DIN</t>
        </is>
      </c>
      <c r="C71" s="3" t="inlineStr">
        <is>
          <t>DIN 546</t>
        </is>
      </c>
      <c r="D71" s="4" t="inlineStr">
        <is>
          <t>مهره گرد شیاردار</t>
        </is>
      </c>
      <c r="E71" s="4" t="inlineStr">
        <is>
          <t>Slotted Round Nut</t>
        </is>
      </c>
      <c r="F71" s="4" t="inlineStr">
        <is>
          <t>مهره</t>
        </is>
      </c>
      <c r="G71" s="2" t="n">
        <v>3</v>
      </c>
      <c r="H71" s="4" t="inlineStr">
        <is>
          <t>DIN 546</t>
        </is>
      </c>
      <c r="I71" s="4" t="inlineStr">
        <is>
          <t>CSN 021444، PN 82463</t>
        </is>
      </c>
      <c r="J71" s="4" t="inlineStr">
        <is>
          <t>M1 – M20</t>
        </is>
      </c>
      <c r="K71" s="2" t="n">
        <v>18</v>
      </c>
      <c r="L71" s="4" t="inlineStr">
        <is>
          <t>فولاد کربنی، استیل A2-70، استیل A4-70</t>
        </is>
      </c>
      <c r="M71" s="4" t="inlineStr"/>
      <c r="N71" s="2" t="n">
        <v>18</v>
      </c>
      <c r="O71" s="2" t="inlineStr">
        <is>
          <t>دارد</t>
        </is>
      </c>
      <c r="P71" s="2" t="inlineStr">
        <is>
          <t>دارد</t>
        </is>
      </c>
      <c r="Q71" s="2" t="inlineStr">
        <is>
          <t>دارد</t>
        </is>
      </c>
    </row>
    <row r="72">
      <c r="A72" s="2" t="n">
        <v>71</v>
      </c>
      <c r="B72" s="2" t="inlineStr">
        <is>
          <t>DIN</t>
        </is>
      </c>
      <c r="C72" s="3" t="inlineStr">
        <is>
          <t>DIN 547</t>
        </is>
      </c>
      <c r="D72" s="4" t="inlineStr">
        <is>
          <t>مهره گرد دوسوراخ</t>
        </is>
      </c>
      <c r="E72" s="4" t="inlineStr">
        <is>
          <t>Two-hole nuts</t>
        </is>
      </c>
      <c r="F72" s="4" t="inlineStr">
        <is>
          <t>مهره</t>
        </is>
      </c>
      <c r="G72" s="2" t="n">
        <v>3</v>
      </c>
      <c r="H72" s="4" t="inlineStr">
        <is>
          <t>DIN 547</t>
        </is>
      </c>
      <c r="I72" s="4" t="inlineStr">
        <is>
          <t>PN 82464</t>
        </is>
      </c>
      <c r="J72" s="4" t="inlineStr">
        <is>
          <t>M2 – M10</t>
        </is>
      </c>
      <c r="K72" s="2" t="n">
        <v>9</v>
      </c>
      <c r="L72" s="4" t="inlineStr">
        <is>
          <t>فولاد کربنی، استیل A2-70، استیل A4-70</t>
        </is>
      </c>
      <c r="M72" s="4" t="inlineStr"/>
      <c r="N72" s="2" t="n">
        <v>9</v>
      </c>
      <c r="O72" s="2" t="inlineStr">
        <is>
          <t>دارد</t>
        </is>
      </c>
      <c r="P72" s="2" t="inlineStr">
        <is>
          <t>دارد</t>
        </is>
      </c>
      <c r="Q72" s="2" t="inlineStr">
        <is>
          <t>دارد</t>
        </is>
      </c>
    </row>
    <row r="73">
      <c r="A73" s="2" t="n">
        <v>72</v>
      </c>
      <c r="B73" s="2" t="inlineStr">
        <is>
          <t>DIN</t>
        </is>
      </c>
      <c r="C73" s="3" t="inlineStr">
        <is>
          <t>DIN 548</t>
        </is>
      </c>
      <c r="D73" s="4" t="inlineStr">
        <is>
          <t>مهره گرد با سوراخ جانبی</t>
        </is>
      </c>
      <c r="E73" s="4" t="inlineStr">
        <is>
          <t>Round nuts with set pin holes in side</t>
        </is>
      </c>
      <c r="F73" s="4" t="inlineStr">
        <is>
          <t>مهره</t>
        </is>
      </c>
      <c r="G73" s="2" t="n">
        <v>3</v>
      </c>
      <c r="H73" s="4" t="inlineStr">
        <is>
          <t>DIN 548</t>
        </is>
      </c>
      <c r="I73" s="4" t="inlineStr">
        <is>
          <t>PN 82466</t>
        </is>
      </c>
      <c r="J73" s="4" t="inlineStr">
        <is>
          <t>M2 – M10</t>
        </is>
      </c>
      <c r="K73" s="2" t="n">
        <v>9</v>
      </c>
      <c r="L73" s="4" t="inlineStr">
        <is>
          <t>فولاد کربنی، استیل A2-70، استیل A4-70</t>
        </is>
      </c>
      <c r="M73" s="4" t="inlineStr"/>
      <c r="N73" s="2" t="n">
        <v>9</v>
      </c>
      <c r="O73" s="2" t="inlineStr">
        <is>
          <t>دارد</t>
        </is>
      </c>
      <c r="P73" s="2" t="inlineStr">
        <is>
          <t>دارد</t>
        </is>
      </c>
      <c r="Q73" s="2" t="inlineStr">
        <is>
          <t>دارد</t>
        </is>
      </c>
    </row>
    <row r="74">
      <c r="A74" s="2" t="n">
        <v>73</v>
      </c>
      <c r="B74" s="2" t="inlineStr">
        <is>
          <t>DIN</t>
        </is>
      </c>
      <c r="C74" s="3" t="inlineStr">
        <is>
          <t>DIN 551</t>
        </is>
      </c>
      <c r="D74" s="4" t="inlineStr">
        <is>
          <t>پیچ مغزی دوسو نوک تخت</t>
        </is>
      </c>
      <c r="E74" s="4" t="inlineStr">
        <is>
          <t>Slotted set screws</t>
        </is>
      </c>
      <c r="F74" s="4" t="inlineStr">
        <is>
          <t>پیچ مغزی</t>
        </is>
      </c>
      <c r="G74" s="2" t="n">
        <v>2</v>
      </c>
      <c r="H74" s="4" t="inlineStr">
        <is>
          <t>DIN EN 24766</t>
        </is>
      </c>
      <c r="I74" s="4" t="inlineStr">
        <is>
          <t>ISO 4766، CSN 021181، PN 82272، UNI 4766، EU 24766</t>
        </is>
      </c>
      <c r="J74" s="4" t="inlineStr">
        <is>
          <t>M1 – M12</t>
        </is>
      </c>
      <c r="K74" s="2" t="n">
        <v>14</v>
      </c>
      <c r="L74" s="4" t="inlineStr">
        <is>
          <t>فولاد 4.8، فولاد 5.8، استیل A2-70، استیل A4-70</t>
        </is>
      </c>
      <c r="M74" s="4" t="inlineStr"/>
      <c r="N74" s="2" t="n">
        <v>124</v>
      </c>
      <c r="O74" s="2" t="inlineStr">
        <is>
          <t>دارد</t>
        </is>
      </c>
      <c r="P74" s="2" t="inlineStr">
        <is>
          <t>دارد</t>
        </is>
      </c>
      <c r="Q74" s="2" t="inlineStr">
        <is>
          <t>دارد</t>
        </is>
      </c>
    </row>
    <row r="75">
      <c r="A75" s="2" t="n">
        <v>74</v>
      </c>
      <c r="B75" s="2" t="inlineStr">
        <is>
          <t>DIN</t>
        </is>
      </c>
      <c r="C75" s="3" t="inlineStr">
        <is>
          <t>DIN 553</t>
        </is>
      </c>
      <c r="D75" s="4" t="inlineStr">
        <is>
          <t>پیچ مغزی دوسو نوک تیز</t>
        </is>
      </c>
      <c r="E75" s="4" t="inlineStr">
        <is>
          <t>Slotted set screws with cone point</t>
        </is>
      </c>
      <c r="F75" s="4" t="inlineStr">
        <is>
          <t>پیچ مغزی</t>
        </is>
      </c>
      <c r="G75" s="2" t="n">
        <v>2</v>
      </c>
      <c r="H75" s="4" t="inlineStr">
        <is>
          <t>DIN EN 27434</t>
        </is>
      </c>
      <c r="I75" s="4" t="inlineStr">
        <is>
          <t>ISO 7434، CSN 021185، PN 82273، UNI 7434، EU 27434</t>
        </is>
      </c>
      <c r="J75" s="4" t="inlineStr">
        <is>
          <t>M1 – M12</t>
        </is>
      </c>
      <c r="K75" s="2" t="n">
        <v>14</v>
      </c>
      <c r="L75" s="4" t="inlineStr">
        <is>
          <t>فولاد 4.8، فولاد 5.8، استیل A2-70، استیل A4-70</t>
        </is>
      </c>
      <c r="M75" s="4" t="inlineStr"/>
      <c r="N75" s="2" t="n">
        <v>105</v>
      </c>
      <c r="O75" s="2" t="inlineStr">
        <is>
          <t>دارد</t>
        </is>
      </c>
      <c r="P75" s="2" t="inlineStr">
        <is>
          <t>دارد</t>
        </is>
      </c>
      <c r="Q75" s="2" t="inlineStr">
        <is>
          <t>دارد</t>
        </is>
      </c>
    </row>
    <row r="76">
      <c r="A76" s="2" t="n">
        <v>75</v>
      </c>
      <c r="B76" s="2" t="inlineStr">
        <is>
          <t>DIN</t>
        </is>
      </c>
      <c r="C76" s="3" t="inlineStr">
        <is>
          <t>DIN 555</t>
        </is>
      </c>
      <c r="D76" s="4" t="inlineStr">
        <is>
          <t>مهره شش‌گوش (کلاس C)</t>
        </is>
      </c>
      <c r="E76" s="4" t="inlineStr">
        <is>
          <t>Hexagon nuts, product grade C</t>
        </is>
      </c>
      <c r="F76" s="4" t="inlineStr">
        <is>
          <t>مهره</t>
        </is>
      </c>
      <c r="G76" s="2" t="n">
        <v>2</v>
      </c>
      <c r="H76" s="4" t="inlineStr">
        <is>
          <t>DIN EN 24034</t>
        </is>
      </c>
      <c r="I76" s="4" t="inlineStr">
        <is>
          <t>ISO 4034، CSN 021601، PN 82144، EU 24034</t>
        </is>
      </c>
      <c r="J76" s="4" t="inlineStr">
        <is>
          <t>M5 – M100X6</t>
        </is>
      </c>
      <c r="K76" s="2" t="n">
        <v>25</v>
      </c>
      <c r="L76" s="4" t="inlineStr">
        <is>
          <t>کلاس 6، کلاس 8، استیل A2-70، استیل A4-70</t>
        </is>
      </c>
      <c r="M76" s="4" t="inlineStr"/>
      <c r="N76" s="2" t="n">
        <v>25</v>
      </c>
      <c r="O76" s="2" t="inlineStr">
        <is>
          <t>دارد</t>
        </is>
      </c>
      <c r="P76" s="2" t="inlineStr">
        <is>
          <t>دارد</t>
        </is>
      </c>
      <c r="Q76" s="2" t="inlineStr">
        <is>
          <t>دارد</t>
        </is>
      </c>
    </row>
    <row r="77">
      <c r="A77" s="2" t="n">
        <v>76</v>
      </c>
      <c r="B77" s="2" t="inlineStr">
        <is>
          <t>DIN</t>
        </is>
      </c>
      <c r="C77" s="3" t="inlineStr">
        <is>
          <t>DIN 557</t>
        </is>
      </c>
      <c r="D77" s="4" t="inlineStr">
        <is>
          <t>مهره چهارگوش</t>
        </is>
      </c>
      <c r="E77" s="4" t="inlineStr">
        <is>
          <t>Square Nuts</t>
        </is>
      </c>
      <c r="F77" s="4" t="inlineStr">
        <is>
          <t>مهره</t>
        </is>
      </c>
      <c r="G77" s="2" t="n">
        <v>2</v>
      </c>
      <c r="H77" s="4" t="inlineStr">
        <is>
          <t>DIN 557</t>
        </is>
      </c>
      <c r="I77" s="4" t="inlineStr">
        <is>
          <t>CSN 021624، PN 82151، UNI 5597</t>
        </is>
      </c>
      <c r="J77" s="4" t="inlineStr">
        <is>
          <t>M5 – M16</t>
        </is>
      </c>
      <c r="K77" s="2" t="n">
        <v>6</v>
      </c>
      <c r="L77" s="4" t="inlineStr">
        <is>
          <t>کلاس 6، کلاس 8، استیل A2-70، استیل A4-70</t>
        </is>
      </c>
      <c r="M77" s="4" t="inlineStr"/>
      <c r="N77" s="2" t="n">
        <v>6</v>
      </c>
      <c r="O77" s="2" t="inlineStr">
        <is>
          <t>دارد</t>
        </is>
      </c>
      <c r="P77" s="2" t="inlineStr">
        <is>
          <t>دارد</t>
        </is>
      </c>
      <c r="Q77" s="2" t="inlineStr">
        <is>
          <t>دارد</t>
        </is>
      </c>
    </row>
    <row r="78">
      <c r="A78" s="2" t="n">
        <v>77</v>
      </c>
      <c r="B78" s="2" t="inlineStr">
        <is>
          <t>DIN</t>
        </is>
      </c>
      <c r="C78" s="3" t="inlineStr">
        <is>
          <t>DIN 558</t>
        </is>
      </c>
      <c r="D78" s="4" t="inlineStr">
        <is>
          <t>پیچ سر شش‌گوش تمام رزوه (کلاس C)</t>
        </is>
      </c>
      <c r="E78" s="4" t="inlineStr">
        <is>
          <t>Hexagon head screws, product grade C</t>
        </is>
      </c>
      <c r="F78" s="4" t="inlineStr">
        <is>
          <t>پیچ شش‌گوش</t>
        </is>
      </c>
      <c r="G78" s="2" t="n">
        <v>2</v>
      </c>
      <c r="H78" s="4" t="inlineStr">
        <is>
          <t>DIN EN 24018</t>
        </is>
      </c>
      <c r="I78" s="4" t="inlineStr">
        <is>
          <t>ISO 4018، CSN 021303، PN 82105، EU 24018</t>
        </is>
      </c>
      <c r="J78" s="4" t="inlineStr">
        <is>
          <t>M5 – M64</t>
        </is>
      </c>
      <c r="K78" s="2" t="n">
        <v>18</v>
      </c>
      <c r="L78" s="4" t="inlineStr">
        <is>
          <t>فولاد 4.6، فولاد 4.8، فولاد 5.6، فولاد 8.8، استیل A2-70، استیل A4-70</t>
        </is>
      </c>
      <c r="M78" s="4" t="inlineStr"/>
      <c r="N78" s="2" t="n">
        <v>0</v>
      </c>
      <c r="O78" s="2" t="inlineStr">
        <is>
          <t>دارد</t>
        </is>
      </c>
      <c r="P78" s="2" t="inlineStr">
        <is>
          <t>دارد</t>
        </is>
      </c>
      <c r="Q78" s="2" t="inlineStr">
        <is>
          <t>دارد</t>
        </is>
      </c>
    </row>
    <row r="79">
      <c r="A79" s="2" t="n">
        <v>78</v>
      </c>
      <c r="B79" s="2" t="inlineStr">
        <is>
          <t>DIN</t>
        </is>
      </c>
      <c r="C79" s="3" t="inlineStr">
        <is>
          <t>DIN 561 A</t>
        </is>
      </c>
      <c r="D79" s="4" t="inlineStr">
        <is>
          <t>پیچ سر شش‌گوش کوچک نوک پین فرم A</t>
        </is>
      </c>
      <c r="E79" s="4" t="inlineStr">
        <is>
          <t>Hexagon head set screws, small hexagon, dog point, Form A</t>
        </is>
      </c>
      <c r="F79" s="4" t="inlineStr">
        <is>
          <t>پیچ شش‌گوش</t>
        </is>
      </c>
      <c r="G79" s="2" t="n">
        <v>3</v>
      </c>
      <c r="H79" s="4" t="inlineStr">
        <is>
          <t>DIN 561A</t>
        </is>
      </c>
      <c r="I79" s="4" t="inlineStr">
        <is>
          <t>CSN 021115</t>
        </is>
      </c>
      <c r="J79" s="4" t="inlineStr">
        <is>
          <t>M6 – M56X3</t>
        </is>
      </c>
      <c r="K79" s="2" t="n">
        <v>19</v>
      </c>
      <c r="L79" s="4" t="inlineStr">
        <is>
          <t>فولاد 8.8، استیل A2-70، استیل A4-70</t>
        </is>
      </c>
      <c r="M79" s="4" t="inlineStr">
        <is>
          <t>پیچ سر شش‌گوش نوک استوانه‌ای، نوک راهنمادار، نوک خلاصی</t>
        </is>
      </c>
      <c r="N79" s="2" t="n">
        <v>170</v>
      </c>
      <c r="O79" s="2" t="inlineStr">
        <is>
          <t>دارد</t>
        </is>
      </c>
      <c r="P79" s="2" t="inlineStr">
        <is>
          <t>دارد</t>
        </is>
      </c>
      <c r="Q79" s="2" t="inlineStr">
        <is>
          <t>دارد</t>
        </is>
      </c>
    </row>
    <row r="80">
      <c r="A80" s="2" t="n">
        <v>79</v>
      </c>
      <c r="B80" s="2" t="inlineStr">
        <is>
          <t>DIN</t>
        </is>
      </c>
      <c r="C80" s="3" t="inlineStr">
        <is>
          <t>DIN 561 B</t>
        </is>
      </c>
      <c r="D80" s="4" t="inlineStr">
        <is>
          <t>پیچ سر شش‌گوش کوچک نوک پین فرم B</t>
        </is>
      </c>
      <c r="E80" s="4" t="inlineStr">
        <is>
          <t>Hexagon head set screws, small hexagon, dog point, Form B</t>
        </is>
      </c>
      <c r="F80" s="4" t="inlineStr">
        <is>
          <t>پیچ شش‌گوش</t>
        </is>
      </c>
      <c r="G80" s="2" t="n">
        <v>2</v>
      </c>
      <c r="H80" s="4" t="inlineStr">
        <is>
          <t>DIN 561</t>
        </is>
      </c>
      <c r="I80" s="4" t="inlineStr">
        <is>
          <t>CSN 021115</t>
        </is>
      </c>
      <c r="J80" s="4" t="inlineStr">
        <is>
          <t>M6 – M56</t>
        </is>
      </c>
      <c r="K80" s="2" t="n">
        <v>12</v>
      </c>
      <c r="L80" s="4" t="inlineStr">
        <is>
          <t>فولاد 8.8، استیل A2-70، استیل A4-70</t>
        </is>
      </c>
      <c r="M80" s="4" t="inlineStr">
        <is>
          <t>پیچ سر شش‌گوش نوک استوانه‌ای، نوک راهنمادار، نوک خلاصی</t>
        </is>
      </c>
      <c r="N80" s="2" t="n">
        <v>0</v>
      </c>
      <c r="O80" s="2" t="inlineStr">
        <is>
          <t>دارد</t>
        </is>
      </c>
      <c r="P80" s="2" t="inlineStr">
        <is>
          <t>دارد</t>
        </is>
      </c>
      <c r="Q80" s="2" t="inlineStr">
        <is>
          <t>دارد</t>
        </is>
      </c>
    </row>
    <row r="81">
      <c r="A81" s="2" t="n">
        <v>80</v>
      </c>
      <c r="B81" s="2" t="inlineStr">
        <is>
          <t>DIN</t>
        </is>
      </c>
      <c r="C81" s="3" t="inlineStr">
        <is>
          <t>DIN 562</t>
        </is>
      </c>
      <c r="D81" s="4" t="inlineStr">
        <is>
          <t>مهره چهارگوش نازک</t>
        </is>
      </c>
      <c r="E81" s="4" t="inlineStr">
        <is>
          <t>Square thin nuts</t>
        </is>
      </c>
      <c r="F81" s="4" t="inlineStr">
        <is>
          <t>مهره</t>
        </is>
      </c>
      <c r="G81" s="2" t="n">
        <v>2</v>
      </c>
      <c r="H81" s="4" t="inlineStr">
        <is>
          <t>DIN 562</t>
        </is>
      </c>
      <c r="I81" s="4" t="inlineStr">
        <is>
          <t>PN 82151، UNI 5596</t>
        </is>
      </c>
      <c r="J81" s="4" t="inlineStr">
        <is>
          <t>M2 – M10</t>
        </is>
      </c>
      <c r="K81" s="2" t="n">
        <v>8</v>
      </c>
      <c r="L81" s="4" t="inlineStr">
        <is>
          <t>کلاس 6، کلاس 8، استیل A2-70، استیل A4-70</t>
        </is>
      </c>
      <c r="M81" s="4" t="inlineStr"/>
      <c r="N81" s="2" t="n">
        <v>8</v>
      </c>
      <c r="O81" s="2" t="inlineStr">
        <is>
          <t>دارد</t>
        </is>
      </c>
      <c r="P81" s="2" t="inlineStr">
        <is>
          <t>دارد</t>
        </is>
      </c>
      <c r="Q81" s="2" t="inlineStr">
        <is>
          <t>دارد</t>
        </is>
      </c>
    </row>
    <row r="82">
      <c r="A82" s="2" t="n">
        <v>81</v>
      </c>
      <c r="B82" s="2" t="inlineStr">
        <is>
          <t>DIN</t>
        </is>
      </c>
      <c r="C82" s="3" t="inlineStr">
        <is>
          <t>DIN 564 A</t>
        </is>
      </c>
      <c r="D82" s="4" t="inlineStr">
        <is>
          <t>پیچ شش‌گوش نوک تیز</t>
        </is>
      </c>
      <c r="E82" s="4" t="inlineStr">
        <is>
          <t>Hexagon head set screws, cone point</t>
        </is>
      </c>
      <c r="F82" s="4" t="inlineStr">
        <is>
          <t>پیچ مغزی</t>
        </is>
      </c>
      <c r="G82" s="2" t="n">
        <v>2</v>
      </c>
      <c r="H82" s="4" t="inlineStr">
        <is>
          <t>DIN 564</t>
        </is>
      </c>
      <c r="I82" s="4" t="inlineStr"/>
      <c r="J82" s="4" t="inlineStr">
        <is>
          <t>M6 – M36</t>
        </is>
      </c>
      <c r="K82" s="2" t="n">
        <v>9</v>
      </c>
      <c r="L82" s="4" t="inlineStr">
        <is>
          <t>فولاد 5.8، فولاد 8.8، استیل A2-70، استیل A4-70</t>
        </is>
      </c>
      <c r="M82" s="4" t="inlineStr">
        <is>
          <t>پیچ تنظیم سر شش‌گوش نوک تیز</t>
        </is>
      </c>
      <c r="N82" s="2" t="n">
        <v>0</v>
      </c>
      <c r="O82" s="2" t="inlineStr">
        <is>
          <t>دارد</t>
        </is>
      </c>
      <c r="P82" s="2" t="inlineStr">
        <is>
          <t>دارد</t>
        </is>
      </c>
      <c r="Q82" s="2" t="inlineStr">
        <is>
          <t>دارد</t>
        </is>
      </c>
    </row>
    <row r="83">
      <c r="A83" s="2" t="n">
        <v>82</v>
      </c>
      <c r="B83" s="2" t="inlineStr">
        <is>
          <t>DIN</t>
        </is>
      </c>
      <c r="C83" s="3" t="inlineStr">
        <is>
          <t>DIN 564 B</t>
        </is>
      </c>
      <c r="D83" s="4" t="inlineStr">
        <is>
          <t>پیچ پران شش‌گوش نوک مخروطی</t>
        </is>
      </c>
      <c r="E83" s="4" t="inlineStr">
        <is>
          <t>Hexagon head ejector screws, taper point</t>
        </is>
      </c>
      <c r="F83" s="4" t="inlineStr">
        <is>
          <t>پیچ مغزی</t>
        </is>
      </c>
      <c r="G83" s="2" t="n">
        <v>2</v>
      </c>
      <c r="H83" s="4" t="inlineStr">
        <is>
          <t>DIN 564</t>
        </is>
      </c>
      <c r="I83" s="4" t="inlineStr"/>
      <c r="J83" s="4" t="inlineStr">
        <is>
          <t>M6 – M36</t>
        </is>
      </c>
      <c r="K83" s="2" t="n">
        <v>9</v>
      </c>
      <c r="L83" s="4" t="inlineStr">
        <is>
          <t>فولاد 5.8، فولاد 8.8، استیل A2-70، استیل A4-70</t>
        </is>
      </c>
      <c r="M83" s="4" t="inlineStr">
        <is>
          <t>پیچ تنظیم سر شش‌گوش نوک پین‌دار، نوک خلاصی</t>
        </is>
      </c>
      <c r="N83" s="2" t="n">
        <v>0</v>
      </c>
      <c r="O83" s="2" t="inlineStr">
        <is>
          <t>دارد</t>
        </is>
      </c>
      <c r="P83" s="2" t="inlineStr">
        <is>
          <t>دارد</t>
        </is>
      </c>
      <c r="Q83" s="2" t="inlineStr">
        <is>
          <t>دارد</t>
        </is>
      </c>
    </row>
    <row r="84">
      <c r="A84" s="2" t="n">
        <v>83</v>
      </c>
      <c r="B84" s="2" t="inlineStr">
        <is>
          <t>DIN</t>
        </is>
      </c>
      <c r="C84" s="3" t="inlineStr">
        <is>
          <t>DIN 571</t>
        </is>
      </c>
      <c r="D84" s="4" t="inlineStr">
        <is>
          <t>پیچ چوب سر شش‌گوش (پیچ کج)</t>
        </is>
      </c>
      <c r="E84" s="4" t="inlineStr">
        <is>
          <t>Hexagon head wood screws (coach screws)</t>
        </is>
      </c>
      <c r="F84" s="4" t="inlineStr">
        <is>
          <t>پیچ خودکار، سرمته و چوب</t>
        </is>
      </c>
      <c r="G84" s="2" t="n">
        <v>2</v>
      </c>
      <c r="H84" s="4" t="inlineStr">
        <is>
          <t>DIN 571</t>
        </is>
      </c>
      <c r="I84" s="4" t="inlineStr">
        <is>
          <t>CSN 021810، PN 82501، UNI 704</t>
        </is>
      </c>
      <c r="J84" s="4" t="inlineStr">
        <is>
          <t>4 – 20</t>
        </is>
      </c>
      <c r="K84" s="2" t="n">
        <v>9</v>
      </c>
      <c r="L84" s="4" t="inlineStr">
        <is>
          <t>فولاد، استیل A2، استیل A4</t>
        </is>
      </c>
      <c r="M84" s="4" t="inlineStr"/>
      <c r="N84" s="2" t="n">
        <v>94</v>
      </c>
      <c r="O84" s="2" t="inlineStr">
        <is>
          <t>دارد</t>
        </is>
      </c>
      <c r="P84" s="2" t="inlineStr">
        <is>
          <t>دارد</t>
        </is>
      </c>
      <c r="Q84" s="2" t="inlineStr">
        <is>
          <t>دارد</t>
        </is>
      </c>
    </row>
    <row r="85">
      <c r="A85" s="2" t="n">
        <v>84</v>
      </c>
      <c r="B85" s="2" t="inlineStr">
        <is>
          <t>DIN</t>
        </is>
      </c>
      <c r="C85" s="3" t="inlineStr">
        <is>
          <t>DIN 580</t>
        </is>
      </c>
      <c r="D85" s="4" t="inlineStr">
        <is>
          <t>پیچ قلاب (پیچ چشمی بالابر)</t>
        </is>
      </c>
      <c r="E85" s="4" t="inlineStr">
        <is>
          <t>Lifting eye bolts</t>
        </is>
      </c>
      <c r="F85" s="4" t="inlineStr">
        <is>
          <t>اتصالات بالابری و مهارکش</t>
        </is>
      </c>
      <c r="G85" s="2" t="n">
        <v>1</v>
      </c>
      <c r="H85" s="4" t="inlineStr">
        <is>
          <t>DIN 580</t>
        </is>
      </c>
      <c r="I85" s="4" t="inlineStr">
        <is>
          <t>CSN 021369، PN 82472، UNI 2947</t>
        </is>
      </c>
      <c r="J85" s="4" t="inlineStr">
        <is>
          <t>M8 – M100X6</t>
        </is>
      </c>
      <c r="K85" s="2" t="n">
        <v>15</v>
      </c>
      <c r="L85" s="4" t="inlineStr">
        <is>
          <t>C-15E، استیل A2-70، استیل A4-70</t>
        </is>
      </c>
      <c r="M85" s="4" t="inlineStr">
        <is>
          <t>قلاب دینام نری</t>
        </is>
      </c>
      <c r="N85" s="2" t="n">
        <v>15</v>
      </c>
      <c r="O85" s="2" t="inlineStr">
        <is>
          <t>دارد</t>
        </is>
      </c>
      <c r="P85" s="2" t="inlineStr">
        <is>
          <t>دارد</t>
        </is>
      </c>
      <c r="Q85" s="2" t="inlineStr">
        <is>
          <t>دارد</t>
        </is>
      </c>
    </row>
    <row r="86">
      <c r="A86" s="2" t="n">
        <v>85</v>
      </c>
      <c r="B86" s="2" t="inlineStr">
        <is>
          <t>DIN</t>
        </is>
      </c>
      <c r="C86" s="3" t="inlineStr">
        <is>
          <t>DIN 582</t>
        </is>
      </c>
      <c r="D86" s="4" t="inlineStr">
        <is>
          <t>مهره قلاب (مهره چشمی بالابر)</t>
        </is>
      </c>
      <c r="E86" s="4" t="inlineStr">
        <is>
          <t>Lifting eye nuts</t>
        </is>
      </c>
      <c r="F86" s="4" t="inlineStr">
        <is>
          <t>اتصالات بالابری و مهارکش</t>
        </is>
      </c>
      <c r="G86" s="2" t="n">
        <v>1</v>
      </c>
      <c r="H86" s="4" t="inlineStr">
        <is>
          <t>DIN 582</t>
        </is>
      </c>
      <c r="I86" s="4" t="inlineStr">
        <is>
          <t>CSN 021669، UNI 2948</t>
        </is>
      </c>
      <c r="J86" s="4" t="inlineStr">
        <is>
          <t>M8 – M100X6</t>
        </is>
      </c>
      <c r="K86" s="2" t="n">
        <v>15</v>
      </c>
      <c r="L86" s="4" t="inlineStr">
        <is>
          <t>C-15E، استیل A2-70، استیل A4-70</t>
        </is>
      </c>
      <c r="M86" s="4" t="inlineStr">
        <is>
          <t>قلاب دینام مادگی</t>
        </is>
      </c>
      <c r="N86" s="2" t="n">
        <v>15</v>
      </c>
      <c r="O86" s="2" t="inlineStr">
        <is>
          <t>دارد</t>
        </is>
      </c>
      <c r="P86" s="2" t="inlineStr">
        <is>
          <t>دارد</t>
        </is>
      </c>
      <c r="Q86" s="2" t="inlineStr">
        <is>
          <t>دارد</t>
        </is>
      </c>
    </row>
    <row r="87">
      <c r="A87" s="2" t="n">
        <v>86</v>
      </c>
      <c r="B87" s="2" t="inlineStr">
        <is>
          <t>DIN</t>
        </is>
      </c>
      <c r="C87" s="3" t="inlineStr">
        <is>
          <t>DIN 601</t>
        </is>
      </c>
      <c r="D87" s="4" t="inlineStr">
        <is>
          <t>پیچ سر شش‌گوش و مهره شش‌گوش (کلاس C)</t>
        </is>
      </c>
      <c r="E87" s="4" t="inlineStr">
        <is>
          <t>Hexagon head bolts with nut, product grade C</t>
        </is>
      </c>
      <c r="F87" s="4" t="inlineStr">
        <is>
          <t>پیچ شش‌گوش</t>
        </is>
      </c>
      <c r="G87" s="2" t="n">
        <v>2</v>
      </c>
      <c r="H87" s="4" t="inlineStr">
        <is>
          <t>DIN EN 24016</t>
        </is>
      </c>
      <c r="I87" s="4" t="inlineStr">
        <is>
          <t>ISO 4016، CSN 021301، EU 24016</t>
        </is>
      </c>
      <c r="J87" s="4" t="inlineStr">
        <is>
          <t>M5 – M64</t>
        </is>
      </c>
      <c r="K87" s="2" t="n">
        <v>23</v>
      </c>
      <c r="L87" s="4" t="inlineStr">
        <is>
          <t>فولاد 4.6، فولاد 4.8، فولاد 5.6، فولاد 8.8، استیل A2-70، استیل A4-70</t>
        </is>
      </c>
      <c r="M87" s="4" t="inlineStr"/>
      <c r="N87" s="2" t="n">
        <v>264</v>
      </c>
      <c r="O87" s="2" t="inlineStr">
        <is>
          <t>دارد</t>
        </is>
      </c>
      <c r="P87" s="2" t="inlineStr">
        <is>
          <t>دارد</t>
        </is>
      </c>
      <c r="Q87" s="2" t="inlineStr">
        <is>
          <t>دارد</t>
        </is>
      </c>
    </row>
    <row r="88">
      <c r="A88" s="2" t="n">
        <v>87</v>
      </c>
      <c r="B88" s="2" t="inlineStr">
        <is>
          <t>DIN</t>
        </is>
      </c>
      <c r="C88" s="3" t="inlineStr">
        <is>
          <t>DIN 603</t>
        </is>
      </c>
      <c r="D88" s="4" t="inlineStr">
        <is>
          <t>پیچ کالسکه (سرگرد گردن چهارگوش)</t>
        </is>
      </c>
      <c r="E88" s="4" t="inlineStr">
        <is>
          <t>Mushroom head square neck bolts</t>
        </is>
      </c>
      <c r="F88" s="4" t="inlineStr">
        <is>
          <t>پیچ سرخاص و کالسکه</t>
        </is>
      </c>
      <c r="G88" s="2" t="n">
        <v>1</v>
      </c>
      <c r="H88" s="4" t="inlineStr">
        <is>
          <t>DIN 603</t>
        </is>
      </c>
      <c r="I88" s="4" t="inlineStr">
        <is>
          <t>ISO 8677، CSN 021319، PN 82406، UNI 5731</t>
        </is>
      </c>
      <c r="J88" s="4" t="inlineStr">
        <is>
          <t>M5 – M20</t>
        </is>
      </c>
      <c r="K88" s="2" t="n">
        <v>7</v>
      </c>
      <c r="L88" s="4" t="inlineStr">
        <is>
          <t>فولاد 4.6، فولاد 4.8، فولاد 8.8، استیل A2-70، استیل A4-70</t>
        </is>
      </c>
      <c r="M88" s="4" t="inlineStr">
        <is>
          <t>پیچ اتاقی</t>
        </is>
      </c>
      <c r="N88" s="2" t="n">
        <v>121</v>
      </c>
      <c r="O88" s="2" t="inlineStr">
        <is>
          <t>دارد</t>
        </is>
      </c>
      <c r="P88" s="2" t="inlineStr">
        <is>
          <t>دارد</t>
        </is>
      </c>
      <c r="Q88" s="2" t="inlineStr">
        <is>
          <t>دارد</t>
        </is>
      </c>
    </row>
    <row r="89">
      <c r="A89" s="2" t="n">
        <v>88</v>
      </c>
      <c r="B89" s="2" t="inlineStr">
        <is>
          <t>DIN</t>
        </is>
      </c>
      <c r="C89" s="3" t="inlineStr">
        <is>
          <t>DIN 604</t>
        </is>
      </c>
      <c r="D89" s="4" t="inlineStr">
        <is>
          <t>پیچ سرخزینه زائده‌دار با مهره</t>
        </is>
      </c>
      <c r="E89" s="4" t="inlineStr">
        <is>
          <t>Flat countersunk nib bolts with hexagon nut</t>
        </is>
      </c>
      <c r="F89" s="4" t="inlineStr">
        <is>
          <t>پیچ سرخاص و کالسکه</t>
        </is>
      </c>
      <c r="G89" s="2" t="n">
        <v>2</v>
      </c>
      <c r="H89" s="4" t="inlineStr">
        <is>
          <t>DIN 604</t>
        </is>
      </c>
      <c r="I89" s="4" t="inlineStr">
        <is>
          <t>CSN 021324، PN 82408، UNI 6105</t>
        </is>
      </c>
      <c r="J89" s="4" t="inlineStr">
        <is>
          <t>M6 – M24</t>
        </is>
      </c>
      <c r="K89" s="2" t="n">
        <v>7</v>
      </c>
      <c r="L89" s="4" t="inlineStr">
        <is>
          <t>فولاد 4.6، فولاد 4.8، فولاد 8.8، استیل A2-70، استیل A4-70</t>
        </is>
      </c>
      <c r="M89" s="4" t="inlineStr">
        <is>
          <t>پیچ خزینه سرتخت تکخار</t>
        </is>
      </c>
      <c r="N89" s="2" t="n">
        <v>116</v>
      </c>
      <c r="O89" s="2" t="inlineStr">
        <is>
          <t>دارد</t>
        </is>
      </c>
      <c r="P89" s="2" t="inlineStr">
        <is>
          <t>دارد</t>
        </is>
      </c>
      <c r="Q89" s="2" t="inlineStr">
        <is>
          <t>دارد</t>
        </is>
      </c>
    </row>
    <row r="90">
      <c r="A90" s="2" t="n">
        <v>89</v>
      </c>
      <c r="B90" s="2" t="inlineStr">
        <is>
          <t>DIN</t>
        </is>
      </c>
      <c r="C90" s="3" t="inlineStr">
        <is>
          <t>DIN 605</t>
        </is>
      </c>
      <c r="D90" s="4" t="inlineStr">
        <is>
          <t>پیچ سرخزینه گردن چهارگوش با مهره</t>
        </is>
      </c>
      <c r="E90" s="4" t="inlineStr">
        <is>
          <t>Flat countersunk square neck bolts with hexagon nut</t>
        </is>
      </c>
      <c r="F90" s="4" t="inlineStr">
        <is>
          <t>پیچ سرخاص و کالسکه</t>
        </is>
      </c>
      <c r="G90" s="2" t="n">
        <v>2</v>
      </c>
      <c r="H90" s="4" t="inlineStr">
        <is>
          <t>DIN 605</t>
        </is>
      </c>
      <c r="I90" s="4" t="inlineStr">
        <is>
          <t>CSN 021327، PN 82402، UNI 6104</t>
        </is>
      </c>
      <c r="J90" s="4" t="inlineStr">
        <is>
          <t>M6 – M10</t>
        </is>
      </c>
      <c r="K90" s="2" t="n">
        <v>3</v>
      </c>
      <c r="L90" s="4" t="inlineStr">
        <is>
          <t>فولاد 4.6، فولاد 4.8، فولاد 8.8، استیل A2-70، استیل A4-70</t>
        </is>
      </c>
      <c r="M90" s="4" t="inlineStr">
        <is>
          <t>پیچ خزینه سرتخت چهارخار</t>
        </is>
      </c>
      <c r="N90" s="2" t="n">
        <v>27</v>
      </c>
      <c r="O90" s="2" t="inlineStr">
        <is>
          <t>دارد</t>
        </is>
      </c>
      <c r="P90" s="2" t="inlineStr">
        <is>
          <t>دارد</t>
        </is>
      </c>
      <c r="Q90" s="2" t="inlineStr">
        <is>
          <t>دارد</t>
        </is>
      </c>
    </row>
    <row r="91">
      <c r="A91" s="2" t="n">
        <v>90</v>
      </c>
      <c r="B91" s="2" t="inlineStr">
        <is>
          <t>DIN</t>
        </is>
      </c>
      <c r="C91" s="3" t="inlineStr">
        <is>
          <t>DIN 607</t>
        </is>
      </c>
      <c r="D91" s="4" t="inlineStr">
        <is>
          <t>پیچ نیم کالسکه</t>
        </is>
      </c>
      <c r="E91" s="4" t="inlineStr">
        <is>
          <t>Half coach bolt</t>
        </is>
      </c>
      <c r="F91" s="4" t="inlineStr">
        <is>
          <t>پیچ سرخاص و کالسکه</t>
        </is>
      </c>
      <c r="G91" s="2" t="n">
        <v>2</v>
      </c>
      <c r="H91" s="4" t="inlineStr">
        <is>
          <t>DIN 607</t>
        </is>
      </c>
      <c r="I91" s="4" t="inlineStr">
        <is>
          <t>PN 82410، UNI 5730</t>
        </is>
      </c>
      <c r="J91" s="4" t="inlineStr">
        <is>
          <t>M8 – M16</t>
        </is>
      </c>
      <c r="K91" s="2" t="n">
        <v>4</v>
      </c>
      <c r="L91" s="4" t="inlineStr">
        <is>
          <t>فولاد 4.6، فولاد 4.8، فولاد 8.8، استیل A2-70، استیل A4-70</t>
        </is>
      </c>
      <c r="M91" s="4" t="inlineStr">
        <is>
          <t>پیچ سرگرد تکخار</t>
        </is>
      </c>
      <c r="N91" s="2" t="n">
        <v>48</v>
      </c>
      <c r="O91" s="2" t="inlineStr">
        <is>
          <t>دارد</t>
        </is>
      </c>
      <c r="P91" s="2" t="inlineStr">
        <is>
          <t>دارد</t>
        </is>
      </c>
      <c r="Q91" s="2" t="inlineStr">
        <is>
          <t>دارد</t>
        </is>
      </c>
    </row>
    <row r="92">
      <c r="A92" s="2" t="n">
        <v>91</v>
      </c>
      <c r="B92" s="2" t="inlineStr">
        <is>
          <t>DIN</t>
        </is>
      </c>
      <c r="C92" s="3" t="inlineStr">
        <is>
          <t>DIN 608</t>
        </is>
      </c>
      <c r="D92" s="4" t="inlineStr">
        <is>
          <t>پیچ سرخزینه گردن چهارگوش کوتاه</t>
        </is>
      </c>
      <c r="E92" s="4" t="inlineStr">
        <is>
          <t>Flat countersunk bolts, short square neck</t>
        </is>
      </c>
      <c r="F92" s="4" t="inlineStr">
        <is>
          <t>پیچ سرخاص و کالسکه</t>
        </is>
      </c>
      <c r="G92" s="2" t="n">
        <v>2</v>
      </c>
      <c r="H92" s="4" t="inlineStr">
        <is>
          <t>DIN 608</t>
        </is>
      </c>
      <c r="I92" s="4" t="inlineStr">
        <is>
          <t>CSN 021326، PN 82402، UNI 5735</t>
        </is>
      </c>
      <c r="J92" s="4" t="inlineStr">
        <is>
          <t>M10 – M12</t>
        </is>
      </c>
      <c r="K92" s="2" t="n">
        <v>2</v>
      </c>
      <c r="L92" s="4" t="inlineStr">
        <is>
          <t>فولاد 4.6، فولاد 4.8، فولاد 8.8، استیل A2-70، استیل A4-70</t>
        </is>
      </c>
      <c r="M92" s="4" t="inlineStr">
        <is>
          <t>پیچ اتاقی سرخزینه</t>
        </is>
      </c>
      <c r="N92" s="2" t="n">
        <v>11</v>
      </c>
      <c r="O92" s="2" t="inlineStr">
        <is>
          <t>دارد</t>
        </is>
      </c>
      <c r="P92" s="2" t="inlineStr">
        <is>
          <t>دارد</t>
        </is>
      </c>
      <c r="Q92" s="2" t="inlineStr">
        <is>
          <t>دارد</t>
        </is>
      </c>
    </row>
    <row r="93">
      <c r="A93" s="2" t="n">
        <v>92</v>
      </c>
      <c r="B93" s="2" t="inlineStr">
        <is>
          <t>DIN</t>
        </is>
      </c>
      <c r="C93" s="3" t="inlineStr">
        <is>
          <t>DIN 609</t>
        </is>
      </c>
      <c r="D93" s="4" t="inlineStr">
        <is>
          <t>پیچ جازن سر شش‌گوش رزوه بلند</t>
        </is>
      </c>
      <c r="E93" s="4" t="inlineStr">
        <is>
          <t>Hexagon fit bolts, long thread</t>
        </is>
      </c>
      <c r="F93" s="4" t="inlineStr">
        <is>
          <t>پیچ شش‌گوش</t>
        </is>
      </c>
      <c r="G93" s="2" t="n">
        <v>2</v>
      </c>
      <c r="H93" s="4" t="inlineStr">
        <is>
          <t>DIN 609</t>
        </is>
      </c>
      <c r="I93" s="4" t="inlineStr">
        <is>
          <t>CSN 021111، PN 82342</t>
        </is>
      </c>
      <c r="J93" s="4" t="inlineStr">
        <is>
          <t>M8 – M52X3</t>
        </is>
      </c>
      <c r="K93" s="2" t="n">
        <v>42</v>
      </c>
      <c r="L93" s="4" t="inlineStr">
        <is>
          <t>فولاد 8.8، فولاد 10.9، فولاد 12.9، استیل A2-70، استیل A4-70</t>
        </is>
      </c>
      <c r="M93" s="4" t="inlineStr">
        <is>
          <t>پیچ انطباقی، فیت بولت رزوه بلند</t>
        </is>
      </c>
      <c r="N93" s="2" t="n">
        <v>873</v>
      </c>
      <c r="O93" s="2" t="inlineStr">
        <is>
          <t>دارد</t>
        </is>
      </c>
      <c r="P93" s="2" t="inlineStr">
        <is>
          <t>دارد</t>
        </is>
      </c>
      <c r="Q93" s="2" t="inlineStr">
        <is>
          <t>دارد</t>
        </is>
      </c>
    </row>
    <row r="94">
      <c r="A94" s="2" t="n">
        <v>93</v>
      </c>
      <c r="B94" s="2" t="inlineStr">
        <is>
          <t>DIN</t>
        </is>
      </c>
      <c r="C94" s="3" t="inlineStr">
        <is>
          <t>DIN 610</t>
        </is>
      </c>
      <c r="D94" s="4" t="inlineStr">
        <is>
          <t>پیچ جازن سر شش‌گوش رزوه کوتاه</t>
        </is>
      </c>
      <c r="E94" s="4" t="inlineStr">
        <is>
          <t>Hexagon fit bolts, short thread</t>
        </is>
      </c>
      <c r="F94" s="4" t="inlineStr">
        <is>
          <t>پیچ شش‌گوش</t>
        </is>
      </c>
      <c r="G94" s="2" t="n">
        <v>2</v>
      </c>
      <c r="H94" s="4" t="inlineStr">
        <is>
          <t>DIN 610</t>
        </is>
      </c>
      <c r="I94" s="4" t="inlineStr">
        <is>
          <t>CSN 021112، PN 82341</t>
        </is>
      </c>
      <c r="J94" s="4" t="inlineStr">
        <is>
          <t>M8 – M39X3</t>
        </is>
      </c>
      <c r="K94" s="2" t="n">
        <v>27</v>
      </c>
      <c r="L94" s="4" t="inlineStr">
        <is>
          <t>فولاد 8.8، فولاد 10.9، فولاد 12.9، استیل A2-70، استیل A4-70</t>
        </is>
      </c>
      <c r="M94" s="4" t="inlineStr">
        <is>
          <t>پیچ انطباقی، فیت بولت رزوه کوتاه</t>
        </is>
      </c>
      <c r="N94" s="2" t="n">
        <v>327</v>
      </c>
      <c r="O94" s="2" t="inlineStr">
        <is>
          <t>دارد</t>
        </is>
      </c>
      <c r="P94" s="2" t="inlineStr">
        <is>
          <t>دارد</t>
        </is>
      </c>
      <c r="Q94" s="2" t="inlineStr">
        <is>
          <t>دارد</t>
        </is>
      </c>
    </row>
    <row r="95">
      <c r="A95" s="2" t="n">
        <v>94</v>
      </c>
      <c r="B95" s="2" t="inlineStr">
        <is>
          <t>DIN</t>
        </is>
      </c>
      <c r="C95" s="3" t="inlineStr">
        <is>
          <t>DIN 653</t>
        </is>
      </c>
      <c r="D95" s="4" t="inlineStr">
        <is>
          <t>پیچ سرآج‌دار تخت</t>
        </is>
      </c>
      <c r="E95" s="4" t="inlineStr">
        <is>
          <t>Flat Knurled Thumb Screws</t>
        </is>
      </c>
      <c r="F95" s="4" t="inlineStr">
        <is>
          <t>پیچ سرخاص و کالسکه</t>
        </is>
      </c>
      <c r="G95" s="2" t="n">
        <v>3</v>
      </c>
      <c r="H95" s="4" t="inlineStr">
        <is>
          <t>DIN 653</t>
        </is>
      </c>
      <c r="I95" s="4" t="inlineStr">
        <is>
          <t>CSN 021162، PN 82457</t>
        </is>
      </c>
      <c r="J95" s="4" t="inlineStr">
        <is>
          <t>M1 – M10</t>
        </is>
      </c>
      <c r="K95" s="2" t="n">
        <v>13</v>
      </c>
      <c r="L95" s="4" t="inlineStr">
        <is>
          <t>فولاد، استیل A2، استیل A4</t>
        </is>
      </c>
      <c r="M95" s="4" t="inlineStr">
        <is>
          <t>پیچ ریگلاژی، پیچ دستی اج‌دار</t>
        </is>
      </c>
      <c r="N95" s="2" t="n">
        <v>103</v>
      </c>
      <c r="O95" s="2" t="inlineStr">
        <is>
          <t>دارد</t>
        </is>
      </c>
      <c r="P95" s="2" t="inlineStr">
        <is>
          <t>دارد</t>
        </is>
      </c>
      <c r="Q95" s="2" t="inlineStr">
        <is>
          <t>دارد</t>
        </is>
      </c>
    </row>
    <row r="96">
      <c r="A96" s="2" t="n">
        <v>95</v>
      </c>
      <c r="B96" s="2" t="inlineStr">
        <is>
          <t>DIN</t>
        </is>
      </c>
      <c r="C96" s="3" t="inlineStr">
        <is>
          <t>DIN 660</t>
        </is>
      </c>
      <c r="D96" s="4" t="inlineStr">
        <is>
          <t>پرچ سرگرد</t>
        </is>
      </c>
      <c r="E96" s="4" t="inlineStr">
        <is>
          <t>Round Head Rivets</t>
        </is>
      </c>
      <c r="F96" s="4" t="inlineStr">
        <is>
          <t>پرچ</t>
        </is>
      </c>
      <c r="G96" s="2" t="n">
        <v>2</v>
      </c>
      <c r="H96" s="4" t="inlineStr">
        <is>
          <t>DIN 660</t>
        </is>
      </c>
      <c r="I96" s="4" t="inlineStr">
        <is>
          <t>ISO 1051 B، CSN 022301، PN 82952، UNI 1051</t>
        </is>
      </c>
      <c r="J96" s="4" t="inlineStr">
        <is>
          <t>1 – 8</t>
        </is>
      </c>
      <c r="K96" s="2" t="n">
        <v>13</v>
      </c>
      <c r="L96" s="4" t="inlineStr">
        <is>
          <t>فولاد، استیل (فولاد ضدزنگ)، مس، آلومینیوم</t>
        </is>
      </c>
      <c r="M96" s="4" t="inlineStr"/>
      <c r="N96" s="2" t="n">
        <v>165</v>
      </c>
      <c r="O96" s="2" t="inlineStr">
        <is>
          <t>دارد</t>
        </is>
      </c>
      <c r="P96" s="2" t="inlineStr">
        <is>
          <t>دارد</t>
        </is>
      </c>
      <c r="Q96" s="2" t="inlineStr">
        <is>
          <t>دارد</t>
        </is>
      </c>
    </row>
    <row r="97">
      <c r="A97" s="2" t="n">
        <v>96</v>
      </c>
      <c r="B97" s="2" t="inlineStr">
        <is>
          <t>DIN</t>
        </is>
      </c>
      <c r="C97" s="3" t="inlineStr">
        <is>
          <t>DIN 661</t>
        </is>
      </c>
      <c r="D97" s="4" t="inlineStr">
        <is>
          <t>پرچ سرخزینه</t>
        </is>
      </c>
      <c r="E97" s="4" t="inlineStr">
        <is>
          <t>Countersunk Head Rivets</t>
        </is>
      </c>
      <c r="F97" s="4" t="inlineStr">
        <is>
          <t>پرچ</t>
        </is>
      </c>
      <c r="G97" s="2" t="n">
        <v>2</v>
      </c>
      <c r="H97" s="4" t="inlineStr">
        <is>
          <t>DIN 661</t>
        </is>
      </c>
      <c r="I97" s="4" t="inlineStr">
        <is>
          <t>ISO 1051 C، CSN 022311، PN 82954، UNI 1051</t>
        </is>
      </c>
      <c r="J97" s="4" t="inlineStr">
        <is>
          <t>1 – 8</t>
        </is>
      </c>
      <c r="K97" s="2" t="n">
        <v>13</v>
      </c>
      <c r="L97" s="4" t="inlineStr">
        <is>
          <t>فولاد، استیل (فولاد ضدزنگ)، مس، آلومینیوم</t>
        </is>
      </c>
      <c r="M97" s="4" t="inlineStr"/>
      <c r="N97" s="2" t="n">
        <v>100</v>
      </c>
      <c r="O97" s="2" t="inlineStr">
        <is>
          <t>دارد</t>
        </is>
      </c>
      <c r="P97" s="2" t="inlineStr">
        <is>
          <t>دارد</t>
        </is>
      </c>
      <c r="Q97" s="2" t="inlineStr">
        <is>
          <t>دارد</t>
        </is>
      </c>
    </row>
    <row r="98">
      <c r="A98" s="2" t="n">
        <v>97</v>
      </c>
      <c r="B98" s="2" t="inlineStr">
        <is>
          <t>DIN</t>
        </is>
      </c>
      <c r="C98" s="3" t="inlineStr">
        <is>
          <t>DIN 662</t>
        </is>
      </c>
      <c r="D98" s="4" t="inlineStr">
        <is>
          <t>پرچ سر عدسی</t>
        </is>
      </c>
      <c r="E98" s="4" t="inlineStr">
        <is>
          <t>Oval (lens) head rivets</t>
        </is>
      </c>
      <c r="F98" s="4" t="inlineStr">
        <is>
          <t>پرچ</t>
        </is>
      </c>
      <c r="G98" s="2" t="n">
        <v>2</v>
      </c>
      <c r="H98" s="4" t="inlineStr">
        <is>
          <t>DIN 662</t>
        </is>
      </c>
      <c r="I98" s="4" t="inlineStr">
        <is>
          <t>PN 82956</t>
        </is>
      </c>
      <c r="J98" s="4" t="inlineStr">
        <is>
          <t>2.5 – 6</t>
        </is>
      </c>
      <c r="K98" s="2" t="n">
        <v>5</v>
      </c>
      <c r="L98" s="4" t="inlineStr">
        <is>
          <t>فولاد، استیل (فولاد ضدزنگ)، مس، آلومینیوم</t>
        </is>
      </c>
      <c r="M98" s="4" t="inlineStr"/>
      <c r="N98" s="2" t="n">
        <v>0</v>
      </c>
      <c r="O98" s="2" t="inlineStr">
        <is>
          <t>دارد</t>
        </is>
      </c>
      <c r="P98" s="2" t="inlineStr">
        <is>
          <t>دارد</t>
        </is>
      </c>
      <c r="Q98" s="2" t="inlineStr">
        <is>
          <t>دارد</t>
        </is>
      </c>
    </row>
    <row r="99">
      <c r="A99" s="2" t="n">
        <v>98</v>
      </c>
      <c r="B99" s="2" t="inlineStr">
        <is>
          <t>DIN</t>
        </is>
      </c>
      <c r="C99" s="3" t="inlineStr">
        <is>
          <t>DIN 674</t>
        </is>
      </c>
      <c r="D99" s="4" t="inlineStr">
        <is>
          <t>پرچ سرگرد تخت</t>
        </is>
      </c>
      <c r="E99" s="4" t="inlineStr">
        <is>
          <t>Flat round head rivets</t>
        </is>
      </c>
      <c r="F99" s="4" t="inlineStr">
        <is>
          <t>پرچ</t>
        </is>
      </c>
      <c r="G99" s="2" t="n">
        <v>2</v>
      </c>
      <c r="H99" s="4" t="inlineStr">
        <is>
          <t>DIN 674</t>
        </is>
      </c>
      <c r="I99" s="4" t="inlineStr">
        <is>
          <t>ISO 1051 A، PN 82958</t>
        </is>
      </c>
      <c r="J99" s="4" t="inlineStr">
        <is>
          <t>1.4 – 6</t>
        </is>
      </c>
      <c r="K99" s="2" t="n">
        <v>9</v>
      </c>
      <c r="L99" s="4" t="inlineStr">
        <is>
          <t>فولاد، استیل (فولاد ضدزنگ)، مس، آلومینیوم</t>
        </is>
      </c>
      <c r="M99" s="4" t="inlineStr"/>
      <c r="N99" s="2" t="n">
        <v>0</v>
      </c>
      <c r="O99" s="2" t="inlineStr">
        <is>
          <t>دارد</t>
        </is>
      </c>
      <c r="P99" s="2" t="inlineStr">
        <is>
          <t>دارد</t>
        </is>
      </c>
      <c r="Q99" s="2" t="inlineStr">
        <is>
          <t>دارد</t>
        </is>
      </c>
    </row>
    <row r="100">
      <c r="A100" s="2" t="n">
        <v>99</v>
      </c>
      <c r="B100" s="2" t="inlineStr">
        <is>
          <t>DIN</t>
        </is>
      </c>
      <c r="C100" s="3" t="inlineStr">
        <is>
          <t>DIN 703</t>
        </is>
      </c>
      <c r="D100" s="4" t="inlineStr">
        <is>
          <t>طوقه (رینگ تنظیم سنگین)</t>
        </is>
      </c>
      <c r="E100" s="4" t="inlineStr">
        <is>
          <t>Collars heavy series</t>
        </is>
      </c>
      <c r="F100" s="4" t="inlineStr">
        <is>
          <t>سایر اتصالات و یراق</t>
        </is>
      </c>
      <c r="G100" s="2" t="n">
        <v>3</v>
      </c>
      <c r="H100" s="4" t="inlineStr"/>
      <c r="I100" s="4" t="inlineStr">
        <is>
          <t>PN 85102</t>
        </is>
      </c>
      <c r="J100" s="4" t="inlineStr">
        <is>
          <t>24 – 120</t>
        </is>
      </c>
      <c r="K100" s="2" t="n">
        <v>33</v>
      </c>
      <c r="L100" s="4" t="inlineStr"/>
      <c r="M100" s="4" t="inlineStr"/>
      <c r="N100" s="2" t="n">
        <v>33</v>
      </c>
      <c r="O100" s="2" t="inlineStr">
        <is>
          <t>دارد</t>
        </is>
      </c>
      <c r="P100" s="2" t="inlineStr">
        <is>
          <t>دارد</t>
        </is>
      </c>
      <c r="Q100" s="2" t="inlineStr">
        <is>
          <t>دارد</t>
        </is>
      </c>
    </row>
    <row r="101">
      <c r="A101" s="2" t="n">
        <v>100</v>
      </c>
      <c r="B101" s="2" t="inlineStr">
        <is>
          <t>DIN</t>
        </is>
      </c>
      <c r="C101" s="3" t="inlineStr">
        <is>
          <t>DIN 705 A</t>
        </is>
      </c>
      <c r="D101" s="4" t="inlineStr">
        <is>
          <t>طوقهٔ تنظیم با پیچ مغزی فرم A</t>
        </is>
      </c>
      <c r="E101" s="4" t="inlineStr">
        <is>
          <t>Adjusting rings with set screw, Form A</t>
        </is>
      </c>
      <c r="F101" s="4" t="inlineStr">
        <is>
          <t>سایر اتصالات و یراق</t>
        </is>
      </c>
      <c r="G101" s="2" t="n">
        <v>3</v>
      </c>
      <c r="H101" s="4" t="inlineStr">
        <is>
          <t>DIN 705</t>
        </is>
      </c>
      <c r="I101" s="4" t="inlineStr"/>
      <c r="J101" s="4" t="inlineStr">
        <is>
          <t>2 – 36</t>
        </is>
      </c>
      <c r="K101" s="2" t="n">
        <v>27</v>
      </c>
      <c r="L101" s="4" t="inlineStr">
        <is>
          <t>فولاد کربنی، استیل A2، استیل A4</t>
        </is>
      </c>
      <c r="M101" s="4" t="inlineStr">
        <is>
          <t>رینگ نگهدارنده شفت با پیچ مغزی</t>
        </is>
      </c>
      <c r="N101" s="2" t="n">
        <v>27</v>
      </c>
      <c r="O101" s="2" t="inlineStr">
        <is>
          <t>دارد</t>
        </is>
      </c>
      <c r="P101" s="2" t="inlineStr">
        <is>
          <t>دارد</t>
        </is>
      </c>
      <c r="Q101" s="2" t="inlineStr">
        <is>
          <t>دارد</t>
        </is>
      </c>
    </row>
    <row r="102">
      <c r="A102" s="2" t="n">
        <v>101</v>
      </c>
      <c r="B102" s="2" t="inlineStr">
        <is>
          <t>DIN</t>
        </is>
      </c>
      <c r="C102" s="3" t="inlineStr">
        <is>
          <t>DIN 705 B</t>
        </is>
      </c>
      <c r="D102" s="4" t="inlineStr">
        <is>
          <t>طوقهٔ تنظیم با پیچ مغزی فرم B</t>
        </is>
      </c>
      <c r="E102" s="4" t="inlineStr">
        <is>
          <t>Adjusting rings with set screw, Form B</t>
        </is>
      </c>
      <c r="F102" s="4" t="inlineStr">
        <is>
          <t>سایر اتصالات و یراق</t>
        </is>
      </c>
      <c r="G102" s="2" t="n">
        <v>3</v>
      </c>
      <c r="H102" s="4" t="inlineStr">
        <is>
          <t>DIN 705</t>
        </is>
      </c>
      <c r="I102" s="4" t="inlineStr"/>
      <c r="J102" s="4" t="inlineStr">
        <is>
          <t>2 – 36</t>
        </is>
      </c>
      <c r="K102" s="2" t="n">
        <v>27</v>
      </c>
      <c r="L102" s="4" t="inlineStr">
        <is>
          <t>فولاد کربنی، استیل A2، استیل A4</t>
        </is>
      </c>
      <c r="M102" s="4" t="inlineStr">
        <is>
          <t>رینگ نگهدارنده شفت با پیچ مغزی</t>
        </is>
      </c>
      <c r="N102" s="2" t="n">
        <v>27</v>
      </c>
      <c r="O102" s="2" t="inlineStr">
        <is>
          <t>دارد</t>
        </is>
      </c>
      <c r="P102" s="2" t="inlineStr">
        <is>
          <t>دارد</t>
        </is>
      </c>
      <c r="Q102" s="2" t="inlineStr">
        <is>
          <t>دارد</t>
        </is>
      </c>
    </row>
    <row r="103">
      <c r="A103" s="2" t="n">
        <v>102</v>
      </c>
      <c r="B103" s="2" t="inlineStr">
        <is>
          <t>DIN</t>
        </is>
      </c>
      <c r="C103" s="3" t="inlineStr">
        <is>
          <t>DIN 741</t>
        </is>
      </c>
      <c r="D103" s="4" t="inlineStr">
        <is>
          <t>کرپی (بست سیم بکسل)</t>
        </is>
      </c>
      <c r="E103" s="4" t="inlineStr">
        <is>
          <t>Wire rope clips</t>
        </is>
      </c>
      <c r="F103" s="4" t="inlineStr">
        <is>
          <t>اتصالات بالابری و مهارکش</t>
        </is>
      </c>
      <c r="G103" s="2" t="n">
        <v>2</v>
      </c>
      <c r="H103" s="4" t="inlineStr"/>
      <c r="I103" s="4" t="inlineStr"/>
      <c r="J103" s="4" t="inlineStr">
        <is>
          <t>4 – 16×58</t>
        </is>
      </c>
      <c r="K103" s="2" t="n">
        <v>15</v>
      </c>
      <c r="L103" s="4" t="inlineStr">
        <is>
          <t>فولاد C15، استیل A2-70، استیل A4-70</t>
        </is>
      </c>
      <c r="M103" s="4" t="inlineStr"/>
      <c r="N103" s="2" t="n">
        <v>15</v>
      </c>
      <c r="O103" s="2" t="inlineStr">
        <is>
          <t>دارد</t>
        </is>
      </c>
      <c r="P103" s="2" t="inlineStr">
        <is>
          <t>دارد</t>
        </is>
      </c>
      <c r="Q103" s="2" t="inlineStr">
        <is>
          <t>دارد</t>
        </is>
      </c>
    </row>
    <row r="104">
      <c r="A104" s="2" t="n">
        <v>103</v>
      </c>
      <c r="B104" s="2" t="inlineStr">
        <is>
          <t>DIN</t>
        </is>
      </c>
      <c r="C104" s="3" t="inlineStr">
        <is>
          <t>DIN 766</t>
        </is>
      </c>
      <c r="D104" s="4" t="inlineStr">
        <is>
          <t>زنجیر حلقه‌ای فولادی</t>
        </is>
      </c>
      <c r="E104" s="4" t="inlineStr">
        <is>
          <t>Round steel link chains</t>
        </is>
      </c>
      <c r="F104" s="4" t="inlineStr">
        <is>
          <t>اتصالات بالابری و مهارکش</t>
        </is>
      </c>
      <c r="G104" s="2" t="n">
        <v>2</v>
      </c>
      <c r="H104" s="4" t="inlineStr">
        <is>
          <t>DIN 766</t>
        </is>
      </c>
      <c r="I104" s="4" t="inlineStr"/>
      <c r="J104" s="4" t="inlineStr">
        <is>
          <t>4 – 42</t>
        </is>
      </c>
      <c r="K104" s="2" t="n">
        <v>21</v>
      </c>
      <c r="L104" s="4" t="inlineStr">
        <is>
          <t>فولاد، فولاد کربنی، استیل A2-70، استیل A4-70</t>
        </is>
      </c>
      <c r="M104" s="4" t="inlineStr">
        <is>
          <t>زنجیر دانه ریز صنعتی با گام 2.8 برابر قطر مفتول</t>
        </is>
      </c>
      <c r="N104" s="2" t="n">
        <v>21</v>
      </c>
      <c r="O104" s="2" t="inlineStr">
        <is>
          <t>دارد</t>
        </is>
      </c>
      <c r="P104" s="2" t="inlineStr">
        <is>
          <t>دارد</t>
        </is>
      </c>
      <c r="Q104" s="2" t="inlineStr">
        <is>
          <t>دارد</t>
        </is>
      </c>
    </row>
    <row r="105">
      <c r="A105" s="2" t="n">
        <v>104</v>
      </c>
      <c r="B105" s="2" t="inlineStr">
        <is>
          <t>DIN</t>
        </is>
      </c>
      <c r="C105" s="3" t="inlineStr">
        <is>
          <t>DIN 787</t>
        </is>
      </c>
      <c r="D105" s="4" t="inlineStr">
        <is>
          <t>پیچ شیار T</t>
        </is>
      </c>
      <c r="E105" s="4" t="inlineStr">
        <is>
          <t>Bolts and screws for T-slots</t>
        </is>
      </c>
      <c r="F105" s="4" t="inlineStr">
        <is>
          <t>پیچ سرخاص و کالسکه</t>
        </is>
      </c>
      <c r="G105" s="2" t="n">
        <v>3</v>
      </c>
      <c r="H105" s="4" t="inlineStr">
        <is>
          <t>DIN 787</t>
        </is>
      </c>
      <c r="I105" s="4" t="inlineStr">
        <is>
          <t>PN 61271</t>
        </is>
      </c>
      <c r="J105" s="4" t="inlineStr">
        <is>
          <t>M6 – M24</t>
        </is>
      </c>
      <c r="K105" s="2" t="n">
        <v>8</v>
      </c>
      <c r="L105" s="4" t="inlineStr">
        <is>
          <t>فولاد 8.8، فولاد 10.9، فولاد 12.9</t>
        </is>
      </c>
      <c r="M105" s="4" t="inlineStr">
        <is>
          <t>پیچ سر چکشی شیار T، T بولت</t>
        </is>
      </c>
      <c r="N105" s="2" t="n">
        <v>0</v>
      </c>
      <c r="O105" s="2" t="inlineStr">
        <is>
          <t>دارد</t>
        </is>
      </c>
      <c r="P105" s="2" t="inlineStr">
        <is>
          <t>دارد</t>
        </is>
      </c>
      <c r="Q105" s="2" t="inlineStr">
        <is>
          <t>دارد</t>
        </is>
      </c>
    </row>
    <row r="106">
      <c r="A106" s="2" t="n">
        <v>105</v>
      </c>
      <c r="B106" s="2" t="inlineStr">
        <is>
          <t>DIN</t>
        </is>
      </c>
      <c r="C106" s="3" t="inlineStr">
        <is>
          <t>DIN 792</t>
        </is>
      </c>
      <c r="D106" s="4" t="inlineStr">
        <is>
          <t>پیچ سرخزینه استوانه‌ای تکخار</t>
        </is>
      </c>
      <c r="E106" s="4" t="inlineStr">
        <is>
          <t>Cylindrical countersunk screws</t>
        </is>
      </c>
      <c r="F106" s="4" t="inlineStr">
        <is>
          <t>پیچ دوسو و چهارسو</t>
        </is>
      </c>
      <c r="G106" s="2" t="n">
        <v>3</v>
      </c>
      <c r="H106" s="4" t="inlineStr">
        <is>
          <t>DIN 792</t>
        </is>
      </c>
      <c r="I106" s="4" t="inlineStr"/>
      <c r="J106" s="4" t="inlineStr">
        <is>
          <t>M24 – M42</t>
        </is>
      </c>
      <c r="K106" s="2" t="n">
        <v>6</v>
      </c>
      <c r="L106" s="4" t="inlineStr">
        <is>
          <t>فولاد 8.8، سفارشی (طبق نقشه)</t>
        </is>
      </c>
      <c r="M106" s="4" t="inlineStr">
        <is>
          <t>پیچ سنگ شکن سرخزینه استوانه‌ای تکخار</t>
        </is>
      </c>
      <c r="N106" s="2" t="n">
        <v>6</v>
      </c>
      <c r="O106" s="2" t="inlineStr">
        <is>
          <t>دارد</t>
        </is>
      </c>
      <c r="P106" s="2" t="inlineStr">
        <is>
          <t>دارد</t>
        </is>
      </c>
      <c r="Q106" s="2" t="inlineStr">
        <is>
          <t>دارد</t>
        </is>
      </c>
    </row>
    <row r="107">
      <c r="A107" s="2" t="n">
        <v>106</v>
      </c>
      <c r="B107" s="2" t="inlineStr">
        <is>
          <t>DIN</t>
        </is>
      </c>
      <c r="C107" s="3" t="inlineStr">
        <is>
          <t>DIN 797</t>
        </is>
      </c>
      <c r="D107" s="4" t="inlineStr">
        <is>
          <t>پیچ فونداسیون مخصوص</t>
        </is>
      </c>
      <c r="E107" s="4" t="inlineStr">
        <is>
          <t>Special foundation bolts</t>
        </is>
      </c>
      <c r="F107" s="4" t="inlineStr">
        <is>
          <t>استاد بولت و میل‌رزوه</t>
        </is>
      </c>
      <c r="G107" s="2" t="n">
        <v>3</v>
      </c>
      <c r="H107" s="4" t="inlineStr">
        <is>
          <t>DIN 797</t>
        </is>
      </c>
      <c r="I107" s="4" t="inlineStr">
        <is>
          <t>PN 85061</t>
        </is>
      </c>
      <c r="J107" s="4" t="inlineStr">
        <is>
          <t>M12 – M100</t>
        </is>
      </c>
      <c r="K107" s="2" t="n">
        <v>14</v>
      </c>
      <c r="L107" s="4" t="inlineStr">
        <is>
          <t>فولاد 4.6، فولاد 5.6، فولاد 8.8، استیل A2-70، استیل A4-70</t>
        </is>
      </c>
      <c r="M107" s="4" t="inlineStr">
        <is>
          <t>پیچ مهاری</t>
        </is>
      </c>
      <c r="N107" s="2" t="n">
        <v>0</v>
      </c>
      <c r="O107" s="2" t="inlineStr">
        <is>
          <t>دارد</t>
        </is>
      </c>
      <c r="P107" s="2" t="inlineStr">
        <is>
          <t>دارد</t>
        </is>
      </c>
      <c r="Q107" s="2" t="inlineStr">
        <is>
          <t>دارد</t>
        </is>
      </c>
    </row>
    <row r="108">
      <c r="A108" s="2" t="n">
        <v>107</v>
      </c>
      <c r="B108" s="2" t="inlineStr">
        <is>
          <t>DIN</t>
        </is>
      </c>
      <c r="C108" s="3" t="inlineStr">
        <is>
          <t>DIN 798</t>
        </is>
      </c>
      <c r="D108" s="4" t="inlineStr">
        <is>
          <t>مهره چهارگوش فونداسیون</t>
        </is>
      </c>
      <c r="E108" s="4" t="inlineStr">
        <is>
          <t>Special foundation square nuts</t>
        </is>
      </c>
      <c r="F108" s="4" t="inlineStr">
        <is>
          <t>مهره</t>
        </is>
      </c>
      <c r="G108" s="2" t="n">
        <v>3</v>
      </c>
      <c r="H108" s="4" t="inlineStr">
        <is>
          <t>DIN 798</t>
        </is>
      </c>
      <c r="I108" s="4" t="inlineStr"/>
      <c r="J108" s="4" t="inlineStr">
        <is>
          <t>M24 – M100</t>
        </is>
      </c>
      <c r="K108" s="2" t="n">
        <v>11</v>
      </c>
      <c r="L108" s="4" t="inlineStr">
        <is>
          <t>فولاد کربنی، استیل A2-70، استیل A4-70</t>
        </is>
      </c>
      <c r="M108" s="4" t="inlineStr">
        <is>
          <t>مهره چهارگوش مخصوصو اتصالات فولادی، مهره مربعی سازه‌ای</t>
        </is>
      </c>
      <c r="N108" s="2" t="n">
        <v>11</v>
      </c>
      <c r="O108" s="2" t="inlineStr">
        <is>
          <t>دارد</t>
        </is>
      </c>
      <c r="P108" s="2" t="inlineStr">
        <is>
          <t>دارد</t>
        </is>
      </c>
      <c r="Q108" s="2" t="inlineStr">
        <is>
          <t>دارد</t>
        </is>
      </c>
    </row>
    <row r="109">
      <c r="A109" s="2" t="n">
        <v>108</v>
      </c>
      <c r="B109" s="2" t="inlineStr">
        <is>
          <t>DIN</t>
        </is>
      </c>
      <c r="C109" s="3" t="inlineStr">
        <is>
          <t>DIN 835</t>
        </is>
      </c>
      <c r="D109" s="4" t="inlineStr">
        <is>
          <t>استاد دوسر (درگیری 2d)</t>
        </is>
      </c>
      <c r="E109" s="4" t="inlineStr">
        <is>
          <t>Double End Studs</t>
        </is>
      </c>
      <c r="F109" s="4" t="inlineStr">
        <is>
          <t>استاد بولت و میل‌رزوه</t>
        </is>
      </c>
      <c r="G109" s="2" t="n">
        <v>3</v>
      </c>
      <c r="H109" s="4" t="inlineStr">
        <is>
          <t>DIN 835</t>
        </is>
      </c>
      <c r="I109" s="4" t="inlineStr">
        <is>
          <t>CSN 021178، PN 82137</t>
        </is>
      </c>
      <c r="J109" s="4" t="inlineStr">
        <is>
          <t>M5 – M24</t>
        </is>
      </c>
      <c r="K109" s="2" t="n">
        <v>8</v>
      </c>
      <c r="L109" s="4" t="inlineStr">
        <is>
          <t>فولاد 5.8، فولاد 8.8، فولاد 10.9، فولاد 12.9، استیل A2-70، استیل A4-70</t>
        </is>
      </c>
      <c r="M109" s="4" t="inlineStr">
        <is>
          <t>پیچ دوسر رزوه با طول درگیری یک سر برابر 2برابر قطر پیچ</t>
        </is>
      </c>
      <c r="N109" s="2" t="n">
        <v>0</v>
      </c>
      <c r="O109" s="2" t="inlineStr">
        <is>
          <t>دارد</t>
        </is>
      </c>
      <c r="P109" s="2" t="inlineStr">
        <is>
          <t>دارد</t>
        </is>
      </c>
      <c r="Q109" s="2" t="inlineStr">
        <is>
          <t>دارد</t>
        </is>
      </c>
    </row>
    <row r="110">
      <c r="A110" s="2" t="n">
        <v>109</v>
      </c>
      <c r="B110" s="2" t="inlineStr">
        <is>
          <t>DIN</t>
        </is>
      </c>
      <c r="C110" s="3" t="inlineStr">
        <is>
          <t>DIN 906</t>
        </is>
      </c>
      <c r="D110" s="4" t="inlineStr">
        <is>
          <t>درپوش آلن رزوه مخروطی</t>
        </is>
      </c>
      <c r="E110" s="4" t="inlineStr">
        <is>
          <t>Hexagon socket screw plugs, taper thread</t>
        </is>
      </c>
      <c r="F110" s="4" t="inlineStr">
        <is>
          <t>سایر اتصالات و یراق</t>
        </is>
      </c>
      <c r="G110" s="2" t="n">
        <v>2</v>
      </c>
      <c r="H110" s="4" t="inlineStr">
        <is>
          <t>DIN 906</t>
        </is>
      </c>
      <c r="I110" s="4" t="inlineStr">
        <is>
          <t>CSN 021913</t>
        </is>
      </c>
      <c r="J110" s="4" t="inlineStr">
        <is>
          <t>M8X1 – M52X1.5</t>
        </is>
      </c>
      <c r="K110" s="2" t="n">
        <v>17</v>
      </c>
      <c r="L110" s="4" t="inlineStr">
        <is>
          <t>فولاد کربنی، استیل A2، استیل A4</t>
        </is>
      </c>
      <c r="M110" s="4" t="inlineStr">
        <is>
          <t>درپوش مغزی NPT، پیچ کورکن مخروطی آلن‌خور</t>
        </is>
      </c>
      <c r="N110" s="2" t="n">
        <v>17</v>
      </c>
      <c r="O110" s="2" t="inlineStr">
        <is>
          <t>دارد</t>
        </is>
      </c>
      <c r="P110" s="2" t="inlineStr">
        <is>
          <t>دارد</t>
        </is>
      </c>
      <c r="Q110" s="2" t="inlineStr">
        <is>
          <t>دارد</t>
        </is>
      </c>
    </row>
    <row r="111">
      <c r="A111" s="2" t="n">
        <v>110</v>
      </c>
      <c r="B111" s="2" t="inlineStr">
        <is>
          <t>DIN</t>
        </is>
      </c>
      <c r="C111" s="3" t="inlineStr">
        <is>
          <t>DIN 908</t>
        </is>
      </c>
      <c r="D111" s="4" t="inlineStr">
        <is>
          <t>درپوش آلن یقه‌دار</t>
        </is>
      </c>
      <c r="E111" s="4" t="inlineStr">
        <is>
          <t>Hexagon socket screw plugs with collar</t>
        </is>
      </c>
      <c r="F111" s="4" t="inlineStr">
        <is>
          <t>سایر اتصالات و یراق</t>
        </is>
      </c>
      <c r="G111" s="2" t="n">
        <v>2</v>
      </c>
      <c r="H111" s="4" t="inlineStr">
        <is>
          <t>DIN 908</t>
        </is>
      </c>
      <c r="I111" s="4" t="inlineStr">
        <is>
          <t>CSN 021938</t>
        </is>
      </c>
      <c r="J111" s="4" t="inlineStr">
        <is>
          <t>M10X1 – M52X1.5</t>
        </is>
      </c>
      <c r="K111" s="2" t="n">
        <v>16</v>
      </c>
      <c r="L111" s="4" t="inlineStr">
        <is>
          <t>فولاد کربنی، استیل A2، استیل A4</t>
        </is>
      </c>
      <c r="M111" s="4" t="inlineStr">
        <is>
          <t>پیچ کورکن آلن‌خور استوانه‌ای فلنج‌دار</t>
        </is>
      </c>
      <c r="N111" s="2" t="n">
        <v>0</v>
      </c>
      <c r="O111" s="2" t="inlineStr">
        <is>
          <t>دارد</t>
        </is>
      </c>
      <c r="P111" s="2" t="inlineStr">
        <is>
          <t>دارد</t>
        </is>
      </c>
      <c r="Q111" s="2" t="inlineStr">
        <is>
          <t>دارد</t>
        </is>
      </c>
    </row>
    <row r="112">
      <c r="A112" s="2" t="n">
        <v>111</v>
      </c>
      <c r="B112" s="2" t="inlineStr">
        <is>
          <t>DIN</t>
        </is>
      </c>
      <c r="C112" s="3" t="inlineStr">
        <is>
          <t>DIN 909</t>
        </is>
      </c>
      <c r="D112" s="4" t="inlineStr">
        <is>
          <t>درپوش شش‌گوش رزوه مخروطی</t>
        </is>
      </c>
      <c r="E112" s="4" t="inlineStr">
        <is>
          <t>Hexagon head screw plugs, taper thread</t>
        </is>
      </c>
      <c r="F112" s="4" t="inlineStr">
        <is>
          <t>سایر اتصالات و یراق</t>
        </is>
      </c>
      <c r="G112" s="2" t="n">
        <v>2</v>
      </c>
      <c r="H112" s="4" t="inlineStr">
        <is>
          <t>DIN 909</t>
        </is>
      </c>
      <c r="I112" s="4" t="inlineStr"/>
      <c r="J112" s="4" t="inlineStr">
        <is>
          <t>M10X1 – M52X1.5</t>
        </is>
      </c>
      <c r="K112" s="2" t="n">
        <v>16</v>
      </c>
      <c r="L112" s="4" t="inlineStr">
        <is>
          <t>فولاد کربنی، استیل A2، استیل A4</t>
        </is>
      </c>
      <c r="M112" s="4" t="inlineStr">
        <is>
          <t>پیچ کورکن سر شش‌گوش واشردار NPT</t>
        </is>
      </c>
      <c r="N112" s="2" t="n">
        <v>0</v>
      </c>
      <c r="O112" s="2" t="inlineStr">
        <is>
          <t>دارد</t>
        </is>
      </c>
      <c r="P112" s="2" t="inlineStr">
        <is>
          <t>دارد</t>
        </is>
      </c>
      <c r="Q112" s="2" t="inlineStr">
        <is>
          <t>دارد</t>
        </is>
      </c>
    </row>
    <row r="113">
      <c r="A113" s="2" t="n">
        <v>112</v>
      </c>
      <c r="B113" s="2" t="inlineStr">
        <is>
          <t>DIN</t>
        </is>
      </c>
      <c r="C113" s="3" t="inlineStr">
        <is>
          <t>DIN 910</t>
        </is>
      </c>
      <c r="D113" s="4" t="inlineStr">
        <is>
          <t>درپوش شش‌گوش یقه‌دار</t>
        </is>
      </c>
      <c r="E113" s="4" t="inlineStr">
        <is>
          <t>Hexagon head screw plugs with collar</t>
        </is>
      </c>
      <c r="F113" s="4" t="inlineStr">
        <is>
          <t>سایر اتصالات و یراق</t>
        </is>
      </c>
      <c r="G113" s="2" t="n">
        <v>2</v>
      </c>
      <c r="H113" s="4" t="inlineStr">
        <is>
          <t>DIN 910</t>
        </is>
      </c>
      <c r="I113" s="4" t="inlineStr">
        <is>
          <t>CSN 021915</t>
        </is>
      </c>
      <c r="J113" s="4" t="inlineStr">
        <is>
          <t>M10X1 – M52X1.5</t>
        </is>
      </c>
      <c r="K113" s="2" t="n">
        <v>16</v>
      </c>
      <c r="L113" s="4" t="inlineStr">
        <is>
          <t>فولاد کربنی، استیل A2، استیل A4</t>
        </is>
      </c>
      <c r="M113" s="4" t="inlineStr">
        <is>
          <t>پیچ کورکن شش‌گوش بیرونی واشردار</t>
        </is>
      </c>
      <c r="N113" s="2" t="n">
        <v>0</v>
      </c>
      <c r="O113" s="2" t="inlineStr">
        <is>
          <t>دارد</t>
        </is>
      </c>
      <c r="P113" s="2" t="inlineStr">
        <is>
          <t>دارد</t>
        </is>
      </c>
      <c r="Q113" s="2" t="inlineStr">
        <is>
          <t>دارد</t>
        </is>
      </c>
    </row>
    <row r="114">
      <c r="A114" s="2" t="n">
        <v>113</v>
      </c>
      <c r="B114" s="2" t="inlineStr">
        <is>
          <t>DIN</t>
        </is>
      </c>
      <c r="C114" s="3" t="inlineStr">
        <is>
          <t>DIN 911</t>
        </is>
      </c>
      <c r="D114" s="4" t="inlineStr">
        <is>
          <t>آچار آلن</t>
        </is>
      </c>
      <c r="E114" s="4" t="inlineStr">
        <is>
          <t>Hex key</t>
        </is>
      </c>
      <c r="F114" s="4" t="inlineStr">
        <is>
          <t>سایر اتصالات و یراق</t>
        </is>
      </c>
      <c r="G114" s="2" t="n">
        <v>3</v>
      </c>
      <c r="H114" s="4" t="inlineStr">
        <is>
          <t>DIN ISO 2936</t>
        </is>
      </c>
      <c r="I114" s="4" t="inlineStr"/>
      <c r="J114" s="4" t="inlineStr">
        <is>
          <t>0.7 – 36</t>
        </is>
      </c>
      <c r="K114" s="2" t="n">
        <v>24</v>
      </c>
      <c r="L114" s="4" t="inlineStr">
        <is>
          <t>فولاد ابزار سخت‌کاری‌شده</t>
        </is>
      </c>
      <c r="M114" s="4" t="inlineStr">
        <is>
          <t>آچار آلن شش‌گوش L شکل</t>
        </is>
      </c>
      <c r="N114" s="2" t="n">
        <v>0</v>
      </c>
      <c r="O114" s="2" t="inlineStr">
        <is>
          <t>دارد</t>
        </is>
      </c>
      <c r="P114" s="2" t="inlineStr">
        <is>
          <t>دارد</t>
        </is>
      </c>
      <c r="Q114" s="2" t="inlineStr">
        <is>
          <t>دارد</t>
        </is>
      </c>
    </row>
    <row r="115">
      <c r="A115" s="2" t="n">
        <v>114</v>
      </c>
      <c r="B115" s="2" t="inlineStr">
        <is>
          <t>DIN</t>
        </is>
      </c>
      <c r="C115" s="3" t="inlineStr">
        <is>
          <t>DIN 912</t>
        </is>
      </c>
      <c r="D115" s="4" t="inlineStr">
        <is>
          <t>پیچ آلن سر استوانه‌ای</t>
        </is>
      </c>
      <c r="E115" s="4" t="inlineStr">
        <is>
          <t>Hexagon socket head cap screws</t>
        </is>
      </c>
      <c r="F115" s="4" t="inlineStr">
        <is>
          <t>پیچ آلن و تورکس</t>
        </is>
      </c>
      <c r="G115" s="2" t="n">
        <v>1</v>
      </c>
      <c r="H115" s="4" t="inlineStr">
        <is>
          <t>DIN EN ISO 4762</t>
        </is>
      </c>
      <c r="I115" s="4" t="inlineStr">
        <is>
          <t>ISO 4762، CSN 021143، PN 82302، UNI 5931</t>
        </is>
      </c>
      <c r="J115" s="4" t="inlineStr">
        <is>
          <t>M3 – M36</t>
        </is>
      </c>
      <c r="K115" s="2" t="n">
        <v>13</v>
      </c>
      <c r="L115" s="4" t="inlineStr">
        <is>
          <t>فولاد 8.8، فولاد 10.9، فولاد 12.9، استیل A2-70، استیل A4-70، استیل A2-80، استیل A4-80، سوپرآلیاژها و گریدهای نسوز</t>
        </is>
      </c>
      <c r="M115" s="4" t="inlineStr">
        <is>
          <t>پیچ آلن</t>
        </is>
      </c>
      <c r="N115" s="2" t="n">
        <v>810</v>
      </c>
      <c r="O115" s="2" t="inlineStr">
        <is>
          <t>دارد</t>
        </is>
      </c>
      <c r="P115" s="2" t="inlineStr">
        <is>
          <t>دارد</t>
        </is>
      </c>
      <c r="Q115" s="2" t="inlineStr">
        <is>
          <t>دارد</t>
        </is>
      </c>
    </row>
    <row r="116">
      <c r="A116" s="2" t="n">
        <v>115</v>
      </c>
      <c r="B116" s="2" t="inlineStr">
        <is>
          <t>DIN</t>
        </is>
      </c>
      <c r="C116" s="3" t="inlineStr">
        <is>
          <t>DIN 912 BL</t>
        </is>
      </c>
      <c r="D116" s="4" t="inlineStr">
        <is>
          <t>پیچ آلن ورق‌کاری</t>
        </is>
      </c>
      <c r="E116" s="4" t="inlineStr">
        <is>
          <t>Hexagon socket head cap screws for sheet metal</t>
        </is>
      </c>
      <c r="F116" s="4" t="inlineStr">
        <is>
          <t>پیچ آلن و تورکس</t>
        </is>
      </c>
      <c r="G116" s="2" t="n">
        <v>3</v>
      </c>
      <c r="H116" s="4" t="inlineStr">
        <is>
          <t>DIN EN ISO 912</t>
        </is>
      </c>
      <c r="I116" s="4" t="inlineStr">
        <is>
          <t>UNI 5931</t>
        </is>
      </c>
      <c r="J116" s="4" t="inlineStr">
        <is>
          <t>4.8 – 6.3</t>
        </is>
      </c>
      <c r="K116" s="2" t="n">
        <v>3</v>
      </c>
      <c r="L116" s="4" t="inlineStr">
        <is>
          <t>فولاد 8.8، فولاد 10.9، فولاد 12.9، استیل A2-70، استیل A4-70</t>
        </is>
      </c>
      <c r="M116" s="4" t="inlineStr">
        <is>
          <t>پیچ آلن سر استوانه‌ای خودکار</t>
        </is>
      </c>
      <c r="N116" s="2" t="n">
        <v>0</v>
      </c>
      <c r="O116" s="2" t="inlineStr">
        <is>
          <t>دارد</t>
        </is>
      </c>
      <c r="P116" s="2" t="inlineStr">
        <is>
          <t>دارد</t>
        </is>
      </c>
      <c r="Q116" s="2" t="inlineStr">
        <is>
          <t>دارد</t>
        </is>
      </c>
    </row>
    <row r="117">
      <c r="A117" s="2" t="n">
        <v>116</v>
      </c>
      <c r="B117" s="2" t="inlineStr">
        <is>
          <t>DIN</t>
        </is>
      </c>
      <c r="C117" s="3" t="inlineStr">
        <is>
          <t>DIN 912 TX</t>
        </is>
      </c>
      <c r="D117" s="4" t="inlineStr">
        <is>
          <t>پیچ سر استوانه‌ای تورکس</t>
        </is>
      </c>
      <c r="E117" s="4" t="inlineStr">
        <is>
          <t>Hexalobular (TORX) socket head cap screws</t>
        </is>
      </c>
      <c r="F117" s="4" t="inlineStr">
        <is>
          <t>پیچ آلن و تورکس</t>
        </is>
      </c>
      <c r="G117" s="2" t="n">
        <v>1</v>
      </c>
      <c r="H117" s="4" t="inlineStr">
        <is>
          <t>DIN EN ISO 912</t>
        </is>
      </c>
      <c r="I117" s="4" t="inlineStr">
        <is>
          <t>UNI 5931</t>
        </is>
      </c>
      <c r="J117" s="4" t="inlineStr">
        <is>
          <t>M2 – M20</t>
        </is>
      </c>
      <c r="K117" s="2" t="n">
        <v>13</v>
      </c>
      <c r="L117" s="4" t="inlineStr">
        <is>
          <t>فولاد 8.8، فولاد 10.9، فولاد 12.9، استیل A2-70، استیل A4-70</t>
        </is>
      </c>
      <c r="M117" s="4" t="inlineStr">
        <is>
          <t>پیچ سر استوانه آلن ستاره‌ای</t>
        </is>
      </c>
      <c r="N117" s="2" t="n">
        <v>0</v>
      </c>
      <c r="O117" s="2" t="inlineStr">
        <is>
          <t>دارد</t>
        </is>
      </c>
      <c r="P117" s="2" t="inlineStr">
        <is>
          <t>دارد</t>
        </is>
      </c>
      <c r="Q117" s="2" t="inlineStr">
        <is>
          <t>دارد</t>
        </is>
      </c>
    </row>
    <row r="118">
      <c r="A118" s="2" t="n">
        <v>117</v>
      </c>
      <c r="B118" s="2" t="inlineStr">
        <is>
          <t>DIN</t>
        </is>
      </c>
      <c r="C118" s="3" t="inlineStr">
        <is>
          <t>DIN 912 VG</t>
        </is>
      </c>
      <c r="D118" s="4" t="inlineStr">
        <is>
          <t>پیچ آلن سر استوانه‌ای تمام رزوه</t>
        </is>
      </c>
      <c r="E118" s="4" t="inlineStr">
        <is>
          <t>Hexagon socket head cap screws, fully threaded</t>
        </is>
      </c>
      <c r="F118" s="4" t="inlineStr">
        <is>
          <t>پیچ آلن و تورکس</t>
        </is>
      </c>
      <c r="G118" s="2" t="n">
        <v>1</v>
      </c>
      <c r="H118" s="4" t="inlineStr">
        <is>
          <t>DIN EN ISO 912</t>
        </is>
      </c>
      <c r="I118" s="4" t="inlineStr">
        <is>
          <t>UNI 5931</t>
        </is>
      </c>
      <c r="J118" s="4" t="inlineStr">
        <is>
          <t>M1.4 – M24</t>
        </is>
      </c>
      <c r="K118" s="2" t="n">
        <v>16</v>
      </c>
      <c r="L118" s="4" t="inlineStr">
        <is>
          <t>فولاد 8.8، فولاد 10.9، فولاد 12.9، استیل A2-70، استیل A4-70، استیل A2-80، استیل A4-80، سوپرآلیاژها و گریدهای نسوز</t>
        </is>
      </c>
      <c r="M118" s="4" t="inlineStr">
        <is>
          <t>پیچ آلن</t>
        </is>
      </c>
      <c r="N118" s="2" t="n">
        <v>0</v>
      </c>
      <c r="O118" s="2" t="inlineStr">
        <is>
          <t>دارد</t>
        </is>
      </c>
      <c r="P118" s="2" t="inlineStr">
        <is>
          <t>دارد</t>
        </is>
      </c>
      <c r="Q118" s="2" t="inlineStr">
        <is>
          <t>دارد</t>
        </is>
      </c>
    </row>
    <row r="119">
      <c r="A119" s="2" t="n">
        <v>118</v>
      </c>
      <c r="B119" s="2" t="inlineStr">
        <is>
          <t>DIN</t>
        </is>
      </c>
      <c r="C119" s="3" t="inlineStr">
        <is>
          <t>DIN 913</t>
        </is>
      </c>
      <c r="D119" s="4" t="inlineStr">
        <is>
          <t>پیچ مغزی آلن نوک تخت</t>
        </is>
      </c>
      <c r="E119" s="4" t="inlineStr">
        <is>
          <t>Hexagon socket set screws with flat point</t>
        </is>
      </c>
      <c r="F119" s="4" t="inlineStr">
        <is>
          <t>پیچ مغزی</t>
        </is>
      </c>
      <c r="G119" s="2" t="n">
        <v>2</v>
      </c>
      <c r="H119" s="4" t="inlineStr">
        <is>
          <t>DIN EN ISO 4026</t>
        </is>
      </c>
      <c r="I119" s="4" t="inlineStr">
        <is>
          <t>ISO 4026، CSN 021187، PN 82314، UNI 5923، EU 24026</t>
        </is>
      </c>
      <c r="J119" s="4" t="inlineStr">
        <is>
          <t>M1.4 – M24</t>
        </is>
      </c>
      <c r="K119" s="2" t="n">
        <v>18</v>
      </c>
      <c r="L119" s="4" t="inlineStr">
        <is>
          <t>سختی 14H، سختی 22H، سختی 45H، فولاد 12.9، استیل A2-70، استیل A4-70</t>
        </is>
      </c>
      <c r="M119" s="4" t="inlineStr"/>
      <c r="N119" s="2" t="n">
        <v>104</v>
      </c>
      <c r="O119" s="2" t="inlineStr">
        <is>
          <t>دارد</t>
        </is>
      </c>
      <c r="P119" s="2" t="inlineStr">
        <is>
          <t>دارد</t>
        </is>
      </c>
      <c r="Q119" s="2" t="inlineStr">
        <is>
          <t>دارد</t>
        </is>
      </c>
    </row>
    <row r="120">
      <c r="A120" s="2" t="n">
        <v>119</v>
      </c>
      <c r="B120" s="2" t="inlineStr">
        <is>
          <t>DIN</t>
        </is>
      </c>
      <c r="C120" s="3" t="inlineStr">
        <is>
          <t>DIN 914</t>
        </is>
      </c>
      <c r="D120" s="4" t="inlineStr">
        <is>
          <t>پیچ مغزی آلن نوک تیز</t>
        </is>
      </c>
      <c r="E120" s="4" t="inlineStr">
        <is>
          <t>Hexagon socket set screws with cone point</t>
        </is>
      </c>
      <c r="F120" s="4" t="inlineStr">
        <is>
          <t>پیچ مغزی</t>
        </is>
      </c>
      <c r="G120" s="2" t="n">
        <v>2</v>
      </c>
      <c r="H120" s="4" t="inlineStr">
        <is>
          <t>DIN EN ISO 4027</t>
        </is>
      </c>
      <c r="I120" s="4" t="inlineStr">
        <is>
          <t>ISO 4027، CSN 021191، PN 82315، UNI 5927، EU 24027</t>
        </is>
      </c>
      <c r="J120" s="4" t="inlineStr">
        <is>
          <t>M1.4 – M24</t>
        </is>
      </c>
      <c r="K120" s="2" t="n">
        <v>18</v>
      </c>
      <c r="L120" s="4" t="inlineStr">
        <is>
          <t>سختی 14H، سختی 22H، سختی 45H، فولاد 12.9، استیل A2-70، استیل A4-70</t>
        </is>
      </c>
      <c r="M120" s="4" t="inlineStr"/>
      <c r="N120" s="2" t="n">
        <v>95</v>
      </c>
      <c r="O120" s="2" t="inlineStr">
        <is>
          <t>دارد</t>
        </is>
      </c>
      <c r="P120" s="2" t="inlineStr">
        <is>
          <t>دارد</t>
        </is>
      </c>
      <c r="Q120" s="2" t="inlineStr">
        <is>
          <t>دارد</t>
        </is>
      </c>
    </row>
    <row r="121">
      <c r="A121" s="2" t="n">
        <v>120</v>
      </c>
      <c r="B121" s="2" t="inlineStr">
        <is>
          <t>DIN</t>
        </is>
      </c>
      <c r="C121" s="3" t="inlineStr">
        <is>
          <t>DIN 915</t>
        </is>
      </c>
      <c r="D121" s="4" t="inlineStr">
        <is>
          <t>پیچ مغزی آلن نوک پین</t>
        </is>
      </c>
      <c r="E121" s="4" t="inlineStr">
        <is>
          <t>Hexagon socket set screws with full dog point</t>
        </is>
      </c>
      <c r="F121" s="4" t="inlineStr">
        <is>
          <t>پیچ مغزی</t>
        </is>
      </c>
      <c r="G121" s="2" t="n">
        <v>2</v>
      </c>
      <c r="H121" s="4" t="inlineStr">
        <is>
          <t>DIN EN ISO 4028</t>
        </is>
      </c>
      <c r="I121" s="4" t="inlineStr">
        <is>
          <t>ISO 4028، CSN 021189، PN 82316، UNI 5925، EU 24028</t>
        </is>
      </c>
      <c r="J121" s="4" t="inlineStr">
        <is>
          <t>M3 – M12</t>
        </is>
      </c>
      <c r="K121" s="2" t="n">
        <v>7</v>
      </c>
      <c r="L121" s="4" t="inlineStr">
        <is>
          <t>سختی 14H، سختی 22H، سختی 45H، فولاد 12.9، استیل A2-70، استیل A4-70</t>
        </is>
      </c>
      <c r="M121" s="4" t="inlineStr">
        <is>
          <t>نوک خلاصی، راهنما‌دار</t>
        </is>
      </c>
      <c r="N121" s="2" t="n">
        <v>71</v>
      </c>
      <c r="O121" s="2" t="inlineStr">
        <is>
          <t>دارد</t>
        </is>
      </c>
      <c r="P121" s="2" t="inlineStr">
        <is>
          <t>دارد</t>
        </is>
      </c>
      <c r="Q121" s="2" t="inlineStr">
        <is>
          <t>دارد</t>
        </is>
      </c>
    </row>
    <row r="122">
      <c r="A122" s="2" t="n">
        <v>121</v>
      </c>
      <c r="B122" s="2" t="inlineStr">
        <is>
          <t>DIN</t>
        </is>
      </c>
      <c r="C122" s="3" t="inlineStr">
        <is>
          <t>DIN 916</t>
        </is>
      </c>
      <c r="D122" s="4" t="inlineStr">
        <is>
          <t>پیچ مغزی آلن نوک کاسه‌ای</t>
        </is>
      </c>
      <c r="E122" s="4" t="inlineStr">
        <is>
          <t>Hexagon socket set screws with cup point</t>
        </is>
      </c>
      <c r="F122" s="4" t="inlineStr">
        <is>
          <t>پیچ مغزی</t>
        </is>
      </c>
      <c r="G122" s="2" t="n">
        <v>1</v>
      </c>
      <c r="H122" s="4" t="inlineStr">
        <is>
          <t>DIN EN ISO 4029</t>
        </is>
      </c>
      <c r="I122" s="4" t="inlineStr">
        <is>
          <t>ISO 4029، PN 82317، UNI 5929، EU 24029</t>
        </is>
      </c>
      <c r="J122" s="4" t="inlineStr">
        <is>
          <t>M1.4 – M24</t>
        </is>
      </c>
      <c r="K122" s="2" t="n">
        <v>18</v>
      </c>
      <c r="L122" s="4" t="inlineStr">
        <is>
          <t>سختی 14H، سختی 22H، سختی 45H، فولاد 12.9، استیل A2-70، استیل A4-70</t>
        </is>
      </c>
      <c r="M122" s="4" t="inlineStr"/>
      <c r="N122" s="2" t="n">
        <v>99</v>
      </c>
      <c r="O122" s="2" t="inlineStr">
        <is>
          <t>دارد</t>
        </is>
      </c>
      <c r="P122" s="2" t="inlineStr">
        <is>
          <t>دارد</t>
        </is>
      </c>
      <c r="Q122" s="2" t="inlineStr">
        <is>
          <t>دارد</t>
        </is>
      </c>
    </row>
    <row r="123">
      <c r="A123" s="2" t="n">
        <v>122</v>
      </c>
      <c r="B123" s="2" t="inlineStr">
        <is>
          <t>DIN</t>
        </is>
      </c>
      <c r="C123" s="3" t="inlineStr">
        <is>
          <t>DIN 917</t>
        </is>
      </c>
      <c r="D123" s="4" t="inlineStr">
        <is>
          <t>مهره کلاهک‌دار کوتاه</t>
        </is>
      </c>
      <c r="E123" s="4" t="inlineStr">
        <is>
          <t>Hexagon Cup Nuts - Low Pattern</t>
        </is>
      </c>
      <c r="F123" s="4" t="inlineStr">
        <is>
          <t>مهره</t>
        </is>
      </c>
      <c r="G123" s="2" t="n">
        <v>3</v>
      </c>
      <c r="H123" s="4" t="inlineStr">
        <is>
          <t>DIN 917</t>
        </is>
      </c>
      <c r="I123" s="4" t="inlineStr">
        <is>
          <t>CSN 021431، PN 82182</t>
        </is>
      </c>
      <c r="J123" s="4" t="inlineStr">
        <is>
          <t>M4 – M20X2</t>
        </is>
      </c>
      <c r="K123" s="2" t="n">
        <v>21</v>
      </c>
      <c r="L123" s="4" t="inlineStr">
        <is>
          <t>کلاس 6، کلاس 8، استیل A2-70، استیل A4-70</t>
        </is>
      </c>
      <c r="M123" s="4" t="inlineStr">
        <is>
          <t>مهره سربسته شش‌گوش کوتاه</t>
        </is>
      </c>
      <c r="N123" s="2" t="n">
        <v>21</v>
      </c>
      <c r="O123" s="2" t="inlineStr">
        <is>
          <t>دارد</t>
        </is>
      </c>
      <c r="P123" s="2" t="inlineStr">
        <is>
          <t>دارد</t>
        </is>
      </c>
      <c r="Q123" s="2" t="inlineStr">
        <is>
          <t>دارد</t>
        </is>
      </c>
    </row>
    <row r="124">
      <c r="A124" s="2" t="n">
        <v>123</v>
      </c>
      <c r="B124" s="2" t="inlineStr">
        <is>
          <t>DIN</t>
        </is>
      </c>
      <c r="C124" s="3" t="inlineStr">
        <is>
          <t>DIN 920</t>
        </is>
      </c>
      <c r="D124" s="4" t="inlineStr">
        <is>
          <t>پیچ دوسو سر عدسی کوچک</t>
        </is>
      </c>
      <c r="E124" s="4" t="inlineStr">
        <is>
          <t>Slotted Pan Head Screws, Small Head</t>
        </is>
      </c>
      <c r="F124" s="4" t="inlineStr">
        <is>
          <t>پیچ دوسو و چهارسو</t>
        </is>
      </c>
      <c r="G124" s="2" t="n">
        <v>3</v>
      </c>
      <c r="H124" s="4" t="inlineStr">
        <is>
          <t>DIN 920</t>
        </is>
      </c>
      <c r="I124" s="4" t="inlineStr">
        <is>
          <t>CSN 021130، PN 82281</t>
        </is>
      </c>
      <c r="J124" s="4" t="inlineStr">
        <is>
          <t>M1 – M10</t>
        </is>
      </c>
      <c r="K124" s="2" t="n">
        <v>13</v>
      </c>
      <c r="L124" s="4" t="inlineStr">
        <is>
          <t>فولاد 4.8، فولاد 5.8، استیل A2-70، استیل A4-70</t>
        </is>
      </c>
      <c r="M124" s="4" t="inlineStr">
        <is>
          <t>پیچ دوسو سر استوانه‌ای کوتاه سر پهن</t>
        </is>
      </c>
      <c r="N124" s="2" t="n">
        <v>116</v>
      </c>
      <c r="O124" s="2" t="inlineStr">
        <is>
          <t>دارد</t>
        </is>
      </c>
      <c r="P124" s="2" t="inlineStr">
        <is>
          <t>دارد</t>
        </is>
      </c>
      <c r="Q124" s="2" t="inlineStr">
        <is>
          <t>دارد</t>
        </is>
      </c>
    </row>
    <row r="125">
      <c r="A125" s="2" t="n">
        <v>124</v>
      </c>
      <c r="B125" s="2" t="inlineStr">
        <is>
          <t>DIN</t>
        </is>
      </c>
      <c r="C125" s="3" t="inlineStr">
        <is>
          <t>DIN 921</t>
        </is>
      </c>
      <c r="D125" s="4" t="inlineStr">
        <is>
          <t>پیچ دوسو سر عدسی بزرگ</t>
        </is>
      </c>
      <c r="E125" s="4" t="inlineStr">
        <is>
          <t>Slotted pan head screws with large head</t>
        </is>
      </c>
      <c r="F125" s="4" t="inlineStr">
        <is>
          <t>پیچ دوسو و چهارسو</t>
        </is>
      </c>
      <c r="G125" s="2" t="n">
        <v>3</v>
      </c>
      <c r="H125" s="4" t="inlineStr">
        <is>
          <t>DIN 921</t>
        </is>
      </c>
      <c r="I125" s="4" t="inlineStr">
        <is>
          <t>PN 82280</t>
        </is>
      </c>
      <c r="J125" s="4" t="inlineStr">
        <is>
          <t>M3 – M6</t>
        </is>
      </c>
      <c r="K125" s="2" t="n">
        <v>4</v>
      </c>
      <c r="L125" s="4" t="inlineStr">
        <is>
          <t>فولاد 4.8، فولاد 5.8، استیل A2-70، استیل A4-70</t>
        </is>
      </c>
      <c r="M125" s="4" t="inlineStr">
        <is>
          <t>پیچ دوسو سر استوانه‌ای سر پهن</t>
        </is>
      </c>
      <c r="N125" s="2" t="n">
        <v>25</v>
      </c>
      <c r="O125" s="2" t="inlineStr">
        <is>
          <t>دارد</t>
        </is>
      </c>
      <c r="P125" s="2" t="inlineStr">
        <is>
          <t>دارد</t>
        </is>
      </c>
      <c r="Q125" s="2" t="inlineStr">
        <is>
          <t>دارد</t>
        </is>
      </c>
    </row>
    <row r="126">
      <c r="A126" s="2" t="n">
        <v>125</v>
      </c>
      <c r="B126" s="2" t="inlineStr">
        <is>
          <t>DIN</t>
        </is>
      </c>
      <c r="C126" s="3" t="inlineStr">
        <is>
          <t>DIN 922</t>
        </is>
      </c>
      <c r="D126" s="4" t="inlineStr">
        <is>
          <t>پیچ دوسو سر عدسی نوک پین</t>
        </is>
      </c>
      <c r="E126" s="4" t="inlineStr">
        <is>
          <t>Slotted pan head screws, small head, full dog point</t>
        </is>
      </c>
      <c r="F126" s="4" t="inlineStr">
        <is>
          <t>پیچ دوسو و چهارسو</t>
        </is>
      </c>
      <c r="G126" s="2" t="n">
        <v>3</v>
      </c>
      <c r="H126" s="4" t="inlineStr">
        <is>
          <t>DIN 922</t>
        </is>
      </c>
      <c r="I126" s="4" t="inlineStr"/>
      <c r="J126" s="4" t="inlineStr">
        <is>
          <t>M1.4 – M10</t>
        </is>
      </c>
      <c r="K126" s="2" t="n">
        <v>11</v>
      </c>
      <c r="L126" s="4" t="inlineStr">
        <is>
          <t>فولاد 5.8، استیل A2-70، استیل A4-70</t>
        </is>
      </c>
      <c r="M126" s="4" t="inlineStr">
        <is>
          <t>پیچ استوانه دوسونوک راهنمادار، نوک خلاصی</t>
        </is>
      </c>
      <c r="N126" s="2" t="n">
        <v>77</v>
      </c>
      <c r="O126" s="2" t="inlineStr">
        <is>
          <t>دارد</t>
        </is>
      </c>
      <c r="P126" s="2" t="inlineStr">
        <is>
          <t>دارد</t>
        </is>
      </c>
      <c r="Q126" s="2" t="inlineStr">
        <is>
          <t>دارد</t>
        </is>
      </c>
    </row>
    <row r="127">
      <c r="A127" s="2" t="n">
        <v>126</v>
      </c>
      <c r="B127" s="2" t="inlineStr">
        <is>
          <t>DIN</t>
        </is>
      </c>
      <c r="C127" s="3" t="inlineStr">
        <is>
          <t>DIN 923</t>
        </is>
      </c>
      <c r="D127" s="4" t="inlineStr">
        <is>
          <t>پیچ دوسو سر عدسی شانه‌دار</t>
        </is>
      </c>
      <c r="E127" s="4" t="inlineStr">
        <is>
          <t>Slotted pan head screws with shoulder</t>
        </is>
      </c>
      <c r="F127" s="4" t="inlineStr">
        <is>
          <t>پیچ دوسو و چهارسو</t>
        </is>
      </c>
      <c r="G127" s="2" t="n">
        <v>3</v>
      </c>
      <c r="H127" s="4" t="inlineStr">
        <is>
          <t>DIN 923</t>
        </is>
      </c>
      <c r="I127" s="4" t="inlineStr">
        <is>
          <t>PN 61241</t>
        </is>
      </c>
      <c r="J127" s="4" t="inlineStr">
        <is>
          <t>M1.4 – M10</t>
        </is>
      </c>
      <c r="K127" s="2" t="n">
        <v>11</v>
      </c>
      <c r="L127" s="4" t="inlineStr">
        <is>
          <t>فولاد 5.8، استیل A2-70، استیل A4-70</t>
        </is>
      </c>
      <c r="M127" s="4" t="inlineStr">
        <is>
          <t>پیچ دوسو سر پهن با شانه کوتاه، پله کوتاه</t>
        </is>
      </c>
      <c r="N127" s="2" t="n">
        <v>133</v>
      </c>
      <c r="O127" s="2" t="inlineStr">
        <is>
          <t>دارد</t>
        </is>
      </c>
      <c r="P127" s="2" t="inlineStr">
        <is>
          <t>دارد</t>
        </is>
      </c>
      <c r="Q127" s="2" t="inlineStr">
        <is>
          <t>دارد</t>
        </is>
      </c>
    </row>
    <row r="128">
      <c r="A128" s="2" t="n">
        <v>127</v>
      </c>
      <c r="B128" s="2" t="inlineStr">
        <is>
          <t>DIN</t>
        </is>
      </c>
      <c r="C128" s="3" t="inlineStr">
        <is>
          <t>DIN 926</t>
        </is>
      </c>
      <c r="D128" s="4" t="inlineStr">
        <is>
          <t>پیچ مغزی دوسو نوک‌دار</t>
        </is>
      </c>
      <c r="E128" s="4" t="inlineStr">
        <is>
          <t>Slotted set screws with full point</t>
        </is>
      </c>
      <c r="F128" s="4" t="inlineStr">
        <is>
          <t>پیچ مغزی</t>
        </is>
      </c>
      <c r="G128" s="2" t="n">
        <v>3</v>
      </c>
      <c r="H128" s="4" t="inlineStr"/>
      <c r="I128" s="4" t="inlineStr"/>
      <c r="J128" s="4" t="inlineStr">
        <is>
          <t>M1 – M6</t>
        </is>
      </c>
      <c r="K128" s="2" t="n">
        <v>11</v>
      </c>
      <c r="L128" s="4" t="inlineStr">
        <is>
          <t>سختی 14H، سختی 22H، سختی 45H، فولاد 12.9، استیل A2-70، استیل A4-70</t>
        </is>
      </c>
      <c r="M128" s="4" t="inlineStr">
        <is>
          <t>نوک خلاصی، راهنما‌دار</t>
        </is>
      </c>
      <c r="N128" s="2" t="n">
        <v>0</v>
      </c>
      <c r="O128" s="2" t="inlineStr">
        <is>
          <t>دارد</t>
        </is>
      </c>
      <c r="P128" s="2" t="inlineStr">
        <is>
          <t>دارد</t>
        </is>
      </c>
      <c r="Q128" s="2" t="inlineStr">
        <is>
          <t>دارد</t>
        </is>
      </c>
    </row>
    <row r="129">
      <c r="A129" s="2" t="n">
        <v>128</v>
      </c>
      <c r="B129" s="2" t="inlineStr">
        <is>
          <t>DIN</t>
        </is>
      </c>
      <c r="C129" s="3" t="inlineStr">
        <is>
          <t>DIN 927</t>
        </is>
      </c>
      <c r="D129" s="4" t="inlineStr">
        <is>
          <t>پیچ دوسو شانه‌دار</t>
        </is>
      </c>
      <c r="E129" s="4" t="inlineStr">
        <is>
          <t>Slotted Shoulder Screws</t>
        </is>
      </c>
      <c r="F129" s="4" t="inlineStr">
        <is>
          <t>پیچ دوسو و چهارسو</t>
        </is>
      </c>
      <c r="G129" s="2" t="n">
        <v>3</v>
      </c>
      <c r="H129" s="4" t="inlineStr">
        <is>
          <t>DIN 927</t>
        </is>
      </c>
      <c r="I129" s="4" t="inlineStr"/>
      <c r="J129" s="4" t="inlineStr">
        <is>
          <t>M1 – M6</t>
        </is>
      </c>
      <c r="K129" s="2" t="n">
        <v>11</v>
      </c>
      <c r="L129" s="4" t="inlineStr">
        <is>
          <t>فولاد 5.8، استیل A2-70، استیل A4-70</t>
        </is>
      </c>
      <c r="M129" s="4" t="inlineStr">
        <is>
          <t>پیچ دوسو سر پهن با شانه، پله</t>
        </is>
      </c>
      <c r="N129" s="2" t="n">
        <v>54</v>
      </c>
      <c r="O129" s="2" t="inlineStr">
        <is>
          <t>دارد</t>
        </is>
      </c>
      <c r="P129" s="2" t="inlineStr">
        <is>
          <t>دارد</t>
        </is>
      </c>
      <c r="Q129" s="2" t="inlineStr">
        <is>
          <t>دارد</t>
        </is>
      </c>
    </row>
    <row r="130">
      <c r="A130" s="2" t="n">
        <v>129</v>
      </c>
      <c r="B130" s="2" t="inlineStr">
        <is>
          <t>DIN</t>
        </is>
      </c>
      <c r="C130" s="3" t="inlineStr">
        <is>
          <t>DIN 928</t>
        </is>
      </c>
      <c r="D130" s="4" t="inlineStr">
        <is>
          <t>مهره جوشی چهارگوش</t>
        </is>
      </c>
      <c r="E130" s="4" t="inlineStr">
        <is>
          <t>Square weld nuts</t>
        </is>
      </c>
      <c r="F130" s="4" t="inlineStr">
        <is>
          <t>مهره</t>
        </is>
      </c>
      <c r="G130" s="2" t="n">
        <v>1</v>
      </c>
      <c r="H130" s="4" t="inlineStr">
        <is>
          <t>DIN 928</t>
        </is>
      </c>
      <c r="I130" s="4" t="inlineStr">
        <is>
          <t>PN 82169</t>
        </is>
      </c>
      <c r="J130" s="4" t="inlineStr">
        <is>
          <t>M4 – M16</t>
        </is>
      </c>
      <c r="K130" s="2" t="n">
        <v>8</v>
      </c>
      <c r="L130" s="4" t="inlineStr">
        <is>
          <t>فولاد جوش‌پذیر (کربن حداکثر 0.25%)، استیل A2، استیل A4</t>
        </is>
      </c>
      <c r="M130" s="4" t="inlineStr"/>
      <c r="N130" s="2" t="n">
        <v>8</v>
      </c>
      <c r="O130" s="2" t="inlineStr">
        <is>
          <t>دارد</t>
        </is>
      </c>
      <c r="P130" s="2" t="inlineStr">
        <is>
          <t>دارد</t>
        </is>
      </c>
      <c r="Q130" s="2" t="inlineStr">
        <is>
          <t>دارد</t>
        </is>
      </c>
    </row>
    <row r="131">
      <c r="A131" s="2" t="n">
        <v>130</v>
      </c>
      <c r="B131" s="2" t="inlineStr">
        <is>
          <t>DIN</t>
        </is>
      </c>
      <c r="C131" s="3" t="inlineStr">
        <is>
          <t>DIN 929</t>
        </is>
      </c>
      <c r="D131" s="4" t="inlineStr">
        <is>
          <t>مهره جوشی شش‌گوش</t>
        </is>
      </c>
      <c r="E131" s="4" t="inlineStr">
        <is>
          <t>Hexagon weld nuts</t>
        </is>
      </c>
      <c r="F131" s="4" t="inlineStr">
        <is>
          <t>مهره</t>
        </is>
      </c>
      <c r="G131" s="2" t="n">
        <v>1</v>
      </c>
      <c r="H131" s="4" t="inlineStr">
        <is>
          <t>DIN 929</t>
        </is>
      </c>
      <c r="I131" s="4" t="inlineStr">
        <is>
          <t>CSN 021455، PN 82169</t>
        </is>
      </c>
      <c r="J131" s="4" t="inlineStr">
        <is>
          <t>M3 – M16</t>
        </is>
      </c>
      <c r="K131" s="2" t="n">
        <v>9</v>
      </c>
      <c r="L131" s="4" t="inlineStr">
        <is>
          <t>فولاد جوش‌پذیر (کربن حداکثر 0.25%)، استیل A2، استیل A4</t>
        </is>
      </c>
      <c r="M131" s="4" t="inlineStr"/>
      <c r="N131" s="2" t="n">
        <v>9</v>
      </c>
      <c r="O131" s="2" t="inlineStr">
        <is>
          <t>دارد</t>
        </is>
      </c>
      <c r="P131" s="2" t="inlineStr">
        <is>
          <t>دارد</t>
        </is>
      </c>
      <c r="Q131" s="2" t="inlineStr">
        <is>
          <t>دارد</t>
        </is>
      </c>
    </row>
    <row r="132">
      <c r="A132" s="2" t="n">
        <v>131</v>
      </c>
      <c r="B132" s="2" t="inlineStr">
        <is>
          <t>DIN</t>
        </is>
      </c>
      <c r="C132" s="3" t="inlineStr">
        <is>
          <t>DIN 931</t>
        </is>
      </c>
      <c r="D132" s="4" t="inlineStr">
        <is>
          <t>پیچ سر شش‌گوش نیم رزوه</t>
        </is>
      </c>
      <c r="E132" s="4" t="inlineStr">
        <is>
          <t>Hexagon head bolts, partially threaded</t>
        </is>
      </c>
      <c r="F132" s="4" t="inlineStr">
        <is>
          <t>پیچ شش‌گوش</t>
        </is>
      </c>
      <c r="G132" s="2" t="n">
        <v>1</v>
      </c>
      <c r="H132" s="4" t="inlineStr">
        <is>
          <t>DIN EN ISO 4014</t>
        </is>
      </c>
      <c r="I132" s="4" t="inlineStr">
        <is>
          <t>ISO 4014، CSN 021101، PN 82101، UNI 5737، EU 24014</t>
        </is>
      </c>
      <c r="J132" s="4" t="inlineStr">
        <is>
          <t>M6 – M24</t>
        </is>
      </c>
      <c r="K132" s="2" t="n">
        <v>7</v>
      </c>
      <c r="L132" s="4" t="inlineStr">
        <is>
          <t>فولاد 8.8، فولاد 10.9، فولاد 12.9، استیل A2-70، استیل A4-70، استیل A2-80، استیل A4-80، سوپرآلیاژها و گریدهای نسوز</t>
        </is>
      </c>
      <c r="M132" s="4" t="inlineStr"/>
      <c r="N132" s="2" t="n">
        <v>0</v>
      </c>
      <c r="O132" s="2" t="inlineStr">
        <is>
          <t>دارد</t>
        </is>
      </c>
      <c r="P132" s="2" t="inlineStr">
        <is>
          <t>دارد</t>
        </is>
      </c>
      <c r="Q132" s="2" t="inlineStr">
        <is>
          <t>دارد</t>
        </is>
      </c>
    </row>
    <row r="133">
      <c r="A133" s="2" t="n">
        <v>132</v>
      </c>
      <c r="B133" s="2" t="inlineStr">
        <is>
          <t>DIN</t>
        </is>
      </c>
      <c r="C133" s="3" t="inlineStr">
        <is>
          <t>DIN 933</t>
        </is>
      </c>
      <c r="D133" s="4" t="inlineStr">
        <is>
          <t>پیچ سر شش‌گوش تمام رزوه</t>
        </is>
      </c>
      <c r="E133" s="4" t="inlineStr">
        <is>
          <t>Hexagon head screws, fully threaded</t>
        </is>
      </c>
      <c r="F133" s="4" t="inlineStr">
        <is>
          <t>پیچ شش‌گوش</t>
        </is>
      </c>
      <c r="G133" s="2" t="n">
        <v>1</v>
      </c>
      <c r="H133" s="4" t="inlineStr">
        <is>
          <t>DIN EN 24017</t>
        </is>
      </c>
      <c r="I133" s="4" t="inlineStr">
        <is>
          <t>ISO 4017، CSN 021103، PN 82105، UNI 5739، EU 24017</t>
        </is>
      </c>
      <c r="J133" s="4" t="inlineStr">
        <is>
          <t>M5 – M24</t>
        </is>
      </c>
      <c r="K133" s="2" t="n">
        <v>8</v>
      </c>
      <c r="L133" s="4" t="inlineStr">
        <is>
          <t>فولاد 8.8، فولاد 10.9، فولاد 12.9، استیل A2-70، استیل A4-70، استیل A2-80، استیل A4-80، سوپرآلیاژها و گریدهای نسوز</t>
        </is>
      </c>
      <c r="M133" s="4" t="inlineStr"/>
      <c r="N133" s="2" t="n">
        <v>51</v>
      </c>
      <c r="O133" s="2" t="inlineStr">
        <is>
          <t>دارد</t>
        </is>
      </c>
      <c r="P133" s="2" t="inlineStr">
        <is>
          <t>دارد</t>
        </is>
      </c>
      <c r="Q133" s="2" t="inlineStr">
        <is>
          <t>دارد</t>
        </is>
      </c>
    </row>
    <row r="134">
      <c r="A134" s="2" t="n">
        <v>133</v>
      </c>
      <c r="B134" s="2" t="inlineStr">
        <is>
          <t>DIN</t>
        </is>
      </c>
      <c r="C134" s="3" t="inlineStr">
        <is>
          <t>DIN 933 SZ</t>
        </is>
      </c>
      <c r="D134" s="4" t="inlineStr">
        <is>
          <t>پیچ سر شش‌گوش شیاردار</t>
        </is>
      </c>
      <c r="E134" s="4" t="inlineStr">
        <is>
          <t>Hexagon head screws with slot</t>
        </is>
      </c>
      <c r="F134" s="4" t="inlineStr">
        <is>
          <t>پیچ شش‌گوش</t>
        </is>
      </c>
      <c r="G134" s="2" t="n">
        <v>2</v>
      </c>
      <c r="H134" s="4" t="inlineStr">
        <is>
          <t>DIN EN ISO 24017</t>
        </is>
      </c>
      <c r="I134" s="4" t="inlineStr">
        <is>
          <t>UNI 5739</t>
        </is>
      </c>
      <c r="J134" s="4" t="inlineStr">
        <is>
          <t>M3 – M8</t>
        </is>
      </c>
      <c r="K134" s="2" t="n">
        <v>5</v>
      </c>
      <c r="L134" s="4" t="inlineStr">
        <is>
          <t>فولاد 8.8، فولاد 10.9، فولاد 12.9، استیل A2-70، استیل A4-70، سوپرآلیاژها و گریدهای نسوز</t>
        </is>
      </c>
      <c r="M134" s="4" t="inlineStr"/>
      <c r="N134" s="2" t="n">
        <v>0</v>
      </c>
      <c r="O134" s="2" t="inlineStr">
        <is>
          <t>دارد</t>
        </is>
      </c>
      <c r="P134" s="2" t="inlineStr">
        <is>
          <t>دارد</t>
        </is>
      </c>
      <c r="Q134" s="2" t="inlineStr">
        <is>
          <t>دارد</t>
        </is>
      </c>
    </row>
    <row r="135">
      <c r="A135" s="2" t="n">
        <v>134</v>
      </c>
      <c r="B135" s="2" t="inlineStr">
        <is>
          <t>DIN</t>
        </is>
      </c>
      <c r="C135" s="3" t="inlineStr">
        <is>
          <t>DIN 934</t>
        </is>
      </c>
      <c r="D135" s="4" t="inlineStr">
        <is>
          <t>مهره شش‌گوش</t>
        </is>
      </c>
      <c r="E135" s="4" t="inlineStr">
        <is>
          <t>Hexagon nuts</t>
        </is>
      </c>
      <c r="F135" s="4" t="inlineStr">
        <is>
          <t>مهره</t>
        </is>
      </c>
      <c r="G135" s="2" t="n">
        <v>1</v>
      </c>
      <c r="H135" s="4" t="inlineStr">
        <is>
          <t>DIN EN 24032</t>
        </is>
      </c>
      <c r="I135" s="4" t="inlineStr">
        <is>
          <t>ISO 4032، CSN 021401، PN 82144، UNI 5588، EU 24032</t>
        </is>
      </c>
      <c r="J135" s="4" t="inlineStr">
        <is>
          <t>M3 – M24</t>
        </is>
      </c>
      <c r="K135" s="2" t="n">
        <v>10</v>
      </c>
      <c r="L135" s="4" t="inlineStr">
        <is>
          <t>کلاس 6، کلاس 8، کلاس 10، کلاس 12، استیل A2-70، استیل A4-70، استیل A2-80، استیل A4-80، سوپرآلیاژها و گریدهای نسوز</t>
        </is>
      </c>
      <c r="M135" s="4" t="inlineStr"/>
      <c r="N135" s="2" t="n">
        <v>110</v>
      </c>
      <c r="O135" s="2" t="inlineStr">
        <is>
          <t>دارد</t>
        </is>
      </c>
      <c r="P135" s="2" t="inlineStr">
        <is>
          <t>دارد</t>
        </is>
      </c>
      <c r="Q135" s="2" t="inlineStr">
        <is>
          <t>دارد</t>
        </is>
      </c>
    </row>
    <row r="136">
      <c r="A136" s="2" t="n">
        <v>135</v>
      </c>
      <c r="B136" s="2" t="inlineStr">
        <is>
          <t>DIN</t>
        </is>
      </c>
      <c r="C136" s="3" t="inlineStr">
        <is>
          <t>DIN 935</t>
        </is>
      </c>
      <c r="D136" s="4" t="inlineStr">
        <is>
          <t>مهره کنگره‌ای</t>
        </is>
      </c>
      <c r="E136" s="4" t="inlineStr">
        <is>
          <t>Hexagon slotted castle nuts</t>
        </is>
      </c>
      <c r="F136" s="4" t="inlineStr">
        <is>
          <t>مهره</t>
        </is>
      </c>
      <c r="G136" s="2" t="n">
        <v>2</v>
      </c>
      <c r="H136" s="4" t="inlineStr">
        <is>
          <t>DIN 935</t>
        </is>
      </c>
      <c r="I136" s="4" t="inlineStr">
        <is>
          <t>ISO 7035، CSN 021411، PN 82148، UNI 5593</t>
        </is>
      </c>
      <c r="J136" s="4" t="inlineStr">
        <is>
          <t>1X10 – M100X6</t>
        </is>
      </c>
      <c r="K136" s="2" t="n">
        <v>91</v>
      </c>
      <c r="L136" s="4" t="inlineStr">
        <is>
          <t>کلاس 5، کلاس 8، کلاس 10، استیل A2-70، استیل A4-70</t>
        </is>
      </c>
      <c r="M136" s="4" t="inlineStr">
        <is>
          <t>مهره شش‌گوش چاکدار تاجدار، مهره قلعه‌ای بلند مخصوص اشپیل</t>
        </is>
      </c>
      <c r="N136" s="2" t="n">
        <v>91</v>
      </c>
      <c r="O136" s="2" t="inlineStr">
        <is>
          <t>دارد</t>
        </is>
      </c>
      <c r="P136" s="2" t="inlineStr">
        <is>
          <t>دارد</t>
        </is>
      </c>
      <c r="Q136" s="2" t="inlineStr">
        <is>
          <t>دارد</t>
        </is>
      </c>
    </row>
    <row r="137">
      <c r="A137" s="2" t="n">
        <v>136</v>
      </c>
      <c r="B137" s="2" t="inlineStr">
        <is>
          <t>DIN</t>
        </is>
      </c>
      <c r="C137" s="3" t="inlineStr">
        <is>
          <t>DIN 936</t>
        </is>
      </c>
      <c r="D137" s="4" t="inlineStr">
        <is>
          <t>مهره شش‌گوش نازک</t>
        </is>
      </c>
      <c r="E137" s="4" t="inlineStr">
        <is>
          <t>Hexagon thin nuts</t>
        </is>
      </c>
      <c r="F137" s="4" t="inlineStr">
        <is>
          <t>مهره</t>
        </is>
      </c>
      <c r="G137" s="2" t="n">
        <v>1</v>
      </c>
      <c r="H137" s="4" t="inlineStr">
        <is>
          <t>DIN 936</t>
        </is>
      </c>
      <c r="I137" s="4" t="inlineStr">
        <is>
          <t>ISO 4035، CSN 021403، PN 82153، UNI 5589، EU 24035</t>
        </is>
      </c>
      <c r="J137" s="4" t="inlineStr">
        <is>
          <t>M8 – M52X3</t>
        </is>
      </c>
      <c r="K137" s="2" t="n">
        <v>57</v>
      </c>
      <c r="L137" s="4" t="inlineStr">
        <is>
          <t>کلاس 6، کلاس 8، کلاس 10، کلاس 12، استیل A2-70، استیل A4-70</t>
        </is>
      </c>
      <c r="M137" s="4" t="inlineStr">
        <is>
          <t>مهره شش‌گوش باریک</t>
        </is>
      </c>
      <c r="N137" s="2" t="n">
        <v>57</v>
      </c>
      <c r="O137" s="2" t="inlineStr">
        <is>
          <t>دارد</t>
        </is>
      </c>
      <c r="P137" s="2" t="inlineStr">
        <is>
          <t>دارد</t>
        </is>
      </c>
      <c r="Q137" s="2" t="inlineStr">
        <is>
          <t>دارد</t>
        </is>
      </c>
    </row>
    <row r="138">
      <c r="A138" s="2" t="n">
        <v>137</v>
      </c>
      <c r="B138" s="2" t="inlineStr">
        <is>
          <t>DIN</t>
        </is>
      </c>
      <c r="C138" s="3" t="inlineStr">
        <is>
          <t>DIN 937</t>
        </is>
      </c>
      <c r="D138" s="4" t="inlineStr">
        <is>
          <t>مهره کنگره‌ای کوتاه</t>
        </is>
      </c>
      <c r="E138" s="4" t="inlineStr">
        <is>
          <t>Castle nuts, low form</t>
        </is>
      </c>
      <c r="F138" s="4" t="inlineStr">
        <is>
          <t>مهره</t>
        </is>
      </c>
      <c r="G138" s="2" t="n">
        <v>2</v>
      </c>
      <c r="H138" s="4" t="inlineStr">
        <is>
          <t>DIN 937</t>
        </is>
      </c>
      <c r="I138" s="4" t="inlineStr">
        <is>
          <t>CSN 021412، PN 82159</t>
        </is>
      </c>
      <c r="J138" s="4" t="inlineStr">
        <is>
          <t>1.6X14 – M52X3</t>
        </is>
      </c>
      <c r="K138" s="2" t="n">
        <v>61</v>
      </c>
      <c r="L138" s="4" t="inlineStr">
        <is>
          <t>کلاس 5، کلاس 8، کلاس 10، استیل A2-70، استیل A4-70</t>
        </is>
      </c>
      <c r="M138" s="4" t="inlineStr">
        <is>
          <t>مهره شش‌گوش چاکدار تاجدار، مهره قلعه‌ای کوتاه مخصوص اشپیل</t>
        </is>
      </c>
      <c r="N138" s="2" t="n">
        <v>61</v>
      </c>
      <c r="O138" s="2" t="inlineStr">
        <is>
          <t>دارد</t>
        </is>
      </c>
      <c r="P138" s="2" t="inlineStr">
        <is>
          <t>دارد</t>
        </is>
      </c>
      <c r="Q138" s="2" t="inlineStr">
        <is>
          <t>دارد</t>
        </is>
      </c>
    </row>
    <row r="139">
      <c r="A139" s="2" t="n">
        <v>138</v>
      </c>
      <c r="B139" s="2" t="inlineStr">
        <is>
          <t>DIN</t>
        </is>
      </c>
      <c r="C139" s="3" t="inlineStr">
        <is>
          <t>DIN 938</t>
        </is>
      </c>
      <c r="D139" s="4" t="inlineStr">
        <is>
          <t>استاد دوسر (درگیری 1d)</t>
        </is>
      </c>
      <c r="E139" s="4" t="inlineStr">
        <is>
          <t>Studs with engagement length 1 x d</t>
        </is>
      </c>
      <c r="F139" s="4" t="inlineStr">
        <is>
          <t>استاد بولت و میل‌رزوه</t>
        </is>
      </c>
      <c r="G139" s="2" t="n">
        <v>3</v>
      </c>
      <c r="H139" s="4" t="inlineStr">
        <is>
          <t>DIN 938</t>
        </is>
      </c>
      <c r="I139" s="4" t="inlineStr">
        <is>
          <t>CSN 021174، PN 82125، UNI 5911</t>
        </is>
      </c>
      <c r="J139" s="4" t="inlineStr">
        <is>
          <t>M3 – M52X3</t>
        </is>
      </c>
      <c r="K139" s="2" t="n">
        <v>41</v>
      </c>
      <c r="L139" s="4" t="inlineStr">
        <is>
          <t>فولاد 5.8، فولاد 8.8، فولاد 10.9، فولاد 12.9، استیل A2-70، استیل A4-70</t>
        </is>
      </c>
      <c r="M139" s="4" t="inlineStr">
        <is>
          <t>پیچ دوسر رزوه با طول درگیری یک سر برابر قطر پیچ</t>
        </is>
      </c>
      <c r="N139" s="2" t="n">
        <v>672</v>
      </c>
      <c r="O139" s="2" t="inlineStr">
        <is>
          <t>دارد</t>
        </is>
      </c>
      <c r="P139" s="2" t="inlineStr">
        <is>
          <t>دارد</t>
        </is>
      </c>
      <c r="Q139" s="2" t="inlineStr">
        <is>
          <t>دارد</t>
        </is>
      </c>
    </row>
    <row r="140">
      <c r="A140" s="2" t="n">
        <v>139</v>
      </c>
      <c r="B140" s="2" t="inlineStr">
        <is>
          <t>DIN</t>
        </is>
      </c>
      <c r="C140" s="3" t="inlineStr">
        <is>
          <t>DIN 939</t>
        </is>
      </c>
      <c r="D140" s="4" t="inlineStr">
        <is>
          <t>استاد دوسر (درگیری 1.25d)</t>
        </is>
      </c>
      <c r="E140" s="4" t="inlineStr">
        <is>
          <t>Studs, with engagement length 1,25 x d</t>
        </is>
      </c>
      <c r="F140" s="4" t="inlineStr">
        <is>
          <t>استاد بولت و میل‌رزوه</t>
        </is>
      </c>
      <c r="G140" s="2" t="n">
        <v>3</v>
      </c>
      <c r="H140" s="4" t="inlineStr">
        <is>
          <t>DIN 939</t>
        </is>
      </c>
      <c r="I140" s="4" t="inlineStr">
        <is>
          <t>CSN 021176، PN 82131</t>
        </is>
      </c>
      <c r="J140" s="4" t="inlineStr">
        <is>
          <t>M4 – M52X3</t>
        </is>
      </c>
      <c r="K140" s="2" t="n">
        <v>40</v>
      </c>
      <c r="L140" s="4" t="inlineStr">
        <is>
          <t>فولاد 5.8، فولاد 8.8، فولاد 10.9، فولاد 12.9، استیل A2-70، استیل A4-70</t>
        </is>
      </c>
      <c r="M140" s="4" t="inlineStr">
        <is>
          <t>پیچ دوسر رزوه با طول درگیری یک سر برابر 1.25برابر قطر پیچ</t>
        </is>
      </c>
      <c r="N140" s="2" t="n">
        <v>666</v>
      </c>
      <c r="O140" s="2" t="inlineStr">
        <is>
          <t>دارد</t>
        </is>
      </c>
      <c r="P140" s="2" t="inlineStr">
        <is>
          <t>دارد</t>
        </is>
      </c>
      <c r="Q140" s="2" t="inlineStr">
        <is>
          <t>دارد</t>
        </is>
      </c>
    </row>
    <row r="141">
      <c r="A141" s="2" t="n">
        <v>140</v>
      </c>
      <c r="B141" s="2" t="inlineStr">
        <is>
          <t>DIN</t>
        </is>
      </c>
      <c r="C141" s="3" t="inlineStr">
        <is>
          <t>DIN 940</t>
        </is>
      </c>
      <c r="D141" s="4" t="inlineStr">
        <is>
          <t>استاد دوسر (درگیری 2.5d)</t>
        </is>
      </c>
      <c r="E141" s="4" t="inlineStr">
        <is>
          <t>Studs, with engagement length 2,5 x d</t>
        </is>
      </c>
      <c r="F141" s="4" t="inlineStr">
        <is>
          <t>استاد بولت و میل‌رزوه</t>
        </is>
      </c>
      <c r="G141" s="2" t="n">
        <v>3</v>
      </c>
      <c r="H141" s="4" t="inlineStr">
        <is>
          <t>DIN 940</t>
        </is>
      </c>
      <c r="I141" s="4" t="inlineStr"/>
      <c r="J141" s="4" t="inlineStr">
        <is>
          <t>M4 – M24</t>
        </is>
      </c>
      <c r="K141" s="2" t="n">
        <v>13</v>
      </c>
      <c r="L141" s="4" t="inlineStr">
        <is>
          <t>فولاد 5.8، فولاد 8.8، فولاد 10.9، فولاد 12.9، استیل A2-70، استیل A4-70</t>
        </is>
      </c>
      <c r="M141" s="4" t="inlineStr">
        <is>
          <t>پیچ دوسر رزوه با طول درگیری یک سر برابر 2.5برابر قطر پیچ</t>
        </is>
      </c>
      <c r="N141" s="2" t="n">
        <v>0</v>
      </c>
      <c r="O141" s="2" t="inlineStr">
        <is>
          <t>دارد</t>
        </is>
      </c>
      <c r="P141" s="2" t="inlineStr">
        <is>
          <t>دارد</t>
        </is>
      </c>
      <c r="Q141" s="2" t="inlineStr">
        <is>
          <t>دارد</t>
        </is>
      </c>
    </row>
    <row r="142">
      <c r="A142" s="2" t="n">
        <v>141</v>
      </c>
      <c r="B142" s="2" t="inlineStr">
        <is>
          <t>DIN</t>
        </is>
      </c>
      <c r="C142" s="3" t="inlineStr">
        <is>
          <t>DIN 960</t>
        </is>
      </c>
      <c r="D142" s="4" t="inlineStr">
        <is>
          <t>پیچ سر شش‌گوش نیم رزوه دنده ریز</t>
        </is>
      </c>
      <c r="E142" s="4" t="inlineStr">
        <is>
          <t>Hexagon head bolts, fine thread, partially threaded</t>
        </is>
      </c>
      <c r="F142" s="4" t="inlineStr">
        <is>
          <t>پیچ شش‌گوش</t>
        </is>
      </c>
      <c r="G142" s="2" t="n">
        <v>2</v>
      </c>
      <c r="H142" s="4" t="inlineStr">
        <is>
          <t>DIN EN 28765</t>
        </is>
      </c>
      <c r="I142" s="4" t="inlineStr">
        <is>
          <t>ISO 8765، CSN 021101، PN 82101، UNI 5738، EU 28676</t>
        </is>
      </c>
      <c r="J142" s="4" t="inlineStr">
        <is>
          <t>M8X1 – M52X3</t>
        </is>
      </c>
      <c r="K142" s="2" t="n">
        <v>24</v>
      </c>
      <c r="L142" s="4" t="inlineStr">
        <is>
          <t>فولاد 5.6، فولاد 8.8، فولاد 10.9، فولاد 12.9، استیل A2-70، استیل A4-70، سوپرآلیاژها و گریدهای نسوز</t>
        </is>
      </c>
      <c r="M142" s="4" t="inlineStr"/>
      <c r="N142" s="2" t="n">
        <v>390</v>
      </c>
      <c r="O142" s="2" t="inlineStr">
        <is>
          <t>دارد</t>
        </is>
      </c>
      <c r="P142" s="2" t="inlineStr">
        <is>
          <t>دارد</t>
        </is>
      </c>
      <c r="Q142" s="2" t="inlineStr">
        <is>
          <t>دارد</t>
        </is>
      </c>
    </row>
    <row r="143">
      <c r="A143" s="2" t="n">
        <v>142</v>
      </c>
      <c r="B143" s="2" t="inlineStr">
        <is>
          <t>DIN</t>
        </is>
      </c>
      <c r="C143" s="3" t="inlineStr">
        <is>
          <t>DIN 961</t>
        </is>
      </c>
      <c r="D143" s="4" t="inlineStr">
        <is>
          <t>پیچ سر شش‌گوش تمام رزوه دنده ریز</t>
        </is>
      </c>
      <c r="E143" s="4" t="inlineStr">
        <is>
          <t>Hexagon head screws, fine thread, fully threaded</t>
        </is>
      </c>
      <c r="F143" s="4" t="inlineStr">
        <is>
          <t>پیچ شش‌گوش</t>
        </is>
      </c>
      <c r="G143" s="2" t="n">
        <v>2</v>
      </c>
      <c r="H143" s="4" t="inlineStr">
        <is>
          <t>DIN EN 28676</t>
        </is>
      </c>
      <c r="I143" s="4" t="inlineStr">
        <is>
          <t>ISO 8676، CSN 021103، PN 82105، UNI 5740، EU 28765</t>
        </is>
      </c>
      <c r="J143" s="4" t="inlineStr">
        <is>
          <t>M8X1 – M52X3</t>
        </is>
      </c>
      <c r="K143" s="2" t="n">
        <v>24</v>
      </c>
      <c r="L143" s="4" t="inlineStr">
        <is>
          <t>فولاد 8.8، فولاد 10.9، فولاد 12.9، استیل A2-70، استیل A4-70، سوپرآلیاژها و گریدهای نسوز</t>
        </is>
      </c>
      <c r="M143" s="4" t="inlineStr"/>
      <c r="N143" s="2" t="n">
        <v>671</v>
      </c>
      <c r="O143" s="2" t="inlineStr">
        <is>
          <t>دارد</t>
        </is>
      </c>
      <c r="P143" s="2" t="inlineStr">
        <is>
          <t>دارد</t>
        </is>
      </c>
      <c r="Q143" s="2" t="inlineStr">
        <is>
          <t>دارد</t>
        </is>
      </c>
    </row>
    <row r="144">
      <c r="A144" s="2" t="n">
        <v>143</v>
      </c>
      <c r="B144" s="2" t="inlineStr">
        <is>
          <t>DIN</t>
        </is>
      </c>
      <c r="C144" s="3" t="inlineStr">
        <is>
          <t>DIN 963</t>
        </is>
      </c>
      <c r="D144" s="4" t="inlineStr">
        <is>
          <t>پیچ دوسو سرخزینه</t>
        </is>
      </c>
      <c r="E144" s="4" t="inlineStr">
        <is>
          <t>Slotted countersunk head screws</t>
        </is>
      </c>
      <c r="F144" s="4" t="inlineStr">
        <is>
          <t>پیچ دوسو و چهارسو</t>
        </is>
      </c>
      <c r="G144" s="2" t="n">
        <v>1</v>
      </c>
      <c r="H144" s="4" t="inlineStr">
        <is>
          <t>DIN EN ISO 2009</t>
        </is>
      </c>
      <c r="I144" s="4" t="inlineStr">
        <is>
          <t>ISO 2009، CSN 021151، PN 82207، UNI 6109</t>
        </is>
      </c>
      <c r="J144" s="4" t="inlineStr">
        <is>
          <t>M1 – M20</t>
        </is>
      </c>
      <c r="K144" s="2" t="n">
        <v>18</v>
      </c>
      <c r="L144" s="4" t="inlineStr">
        <is>
          <t>فولاد 5.8، استیل A2-70، استیل A4-70</t>
        </is>
      </c>
      <c r="M144" s="4" t="inlineStr">
        <is>
          <t>پیچ خزینه دوسو سر تخت</t>
        </is>
      </c>
      <c r="N144" s="2" t="n">
        <v>212</v>
      </c>
      <c r="O144" s="2" t="inlineStr">
        <is>
          <t>دارد</t>
        </is>
      </c>
      <c r="P144" s="2" t="inlineStr">
        <is>
          <t>دارد</t>
        </is>
      </c>
      <c r="Q144" s="2" t="inlineStr">
        <is>
          <t>دارد</t>
        </is>
      </c>
    </row>
    <row r="145">
      <c r="A145" s="2" t="n">
        <v>144</v>
      </c>
      <c r="B145" s="2" t="inlineStr">
        <is>
          <t>DIN</t>
        </is>
      </c>
      <c r="C145" s="3" t="inlineStr">
        <is>
          <t>DIN 964</t>
        </is>
      </c>
      <c r="D145" s="4" t="inlineStr">
        <is>
          <t>پیچ دوسو سرخزینه عدسی</t>
        </is>
      </c>
      <c r="E145" s="4" t="inlineStr">
        <is>
          <t>Slotted raised countersunk oval head screws</t>
        </is>
      </c>
      <c r="F145" s="4" t="inlineStr">
        <is>
          <t>پیچ دوسو و چهارسو</t>
        </is>
      </c>
      <c r="G145" s="2" t="n">
        <v>3</v>
      </c>
      <c r="H145" s="4" t="inlineStr">
        <is>
          <t>DIN EN ISO 2010</t>
        </is>
      </c>
      <c r="I145" s="4" t="inlineStr">
        <is>
          <t>ISO 2010، CSN 021155، PN 82211، UNI 6110</t>
        </is>
      </c>
      <c r="J145" s="4" t="inlineStr">
        <is>
          <t>M1 – M10</t>
        </is>
      </c>
      <c r="K145" s="2" t="n">
        <v>13</v>
      </c>
      <c r="L145" s="4" t="inlineStr">
        <is>
          <t>فولاد 5.8، استیل A2-70، استیل A4-70</t>
        </is>
      </c>
      <c r="M145" s="4" t="inlineStr">
        <is>
          <t>پیچ خزینه دوسو سر عدسی</t>
        </is>
      </c>
      <c r="N145" s="2" t="n">
        <v>151</v>
      </c>
      <c r="O145" s="2" t="inlineStr">
        <is>
          <t>دارد</t>
        </is>
      </c>
      <c r="P145" s="2" t="inlineStr">
        <is>
          <t>دارد</t>
        </is>
      </c>
      <c r="Q145" s="2" t="inlineStr">
        <is>
          <t>دارد</t>
        </is>
      </c>
    </row>
    <row r="146">
      <c r="A146" s="2" t="n">
        <v>145</v>
      </c>
      <c r="B146" s="2" t="inlineStr">
        <is>
          <t>DIN</t>
        </is>
      </c>
      <c r="C146" s="3" t="inlineStr">
        <is>
          <t>DIN 965</t>
        </is>
      </c>
      <c r="D146" s="4" t="inlineStr">
        <is>
          <t>پیچ چهارسو سرخزینه</t>
        </is>
      </c>
      <c r="E146" s="4" t="inlineStr">
        <is>
          <t>Cross recessed countersunk flat head screws</t>
        </is>
      </c>
      <c r="F146" s="4" t="inlineStr">
        <is>
          <t>پیچ دوسو و چهارسو</t>
        </is>
      </c>
      <c r="G146" s="2" t="n">
        <v>1</v>
      </c>
      <c r="H146" s="4" t="inlineStr">
        <is>
          <t>DIN EN ISO 7046-1, 7046-2</t>
        </is>
      </c>
      <c r="I146" s="4" t="inlineStr">
        <is>
          <t>ISO 7046، CSN 021152، PN 82208، UNI 7688</t>
        </is>
      </c>
      <c r="J146" s="4" t="inlineStr">
        <is>
          <t>M1.6 – M10</t>
        </is>
      </c>
      <c r="K146" s="2" t="n">
        <v>10</v>
      </c>
      <c r="L146" s="4" t="inlineStr">
        <is>
          <t>فولاد 5.8، استیل A2-70، استیل A4-70</t>
        </is>
      </c>
      <c r="M146" s="4" t="inlineStr">
        <is>
          <t>پیچ خزینه چهارسو سر تخت</t>
        </is>
      </c>
      <c r="N146" s="2" t="n">
        <v>138</v>
      </c>
      <c r="O146" s="2" t="inlineStr">
        <is>
          <t>دارد</t>
        </is>
      </c>
      <c r="P146" s="2" t="inlineStr">
        <is>
          <t>دارد</t>
        </is>
      </c>
      <c r="Q146" s="2" t="inlineStr">
        <is>
          <t>دارد</t>
        </is>
      </c>
    </row>
    <row r="147">
      <c r="A147" s="2" t="n">
        <v>146</v>
      </c>
      <c r="B147" s="2" t="inlineStr">
        <is>
          <t>DIN</t>
        </is>
      </c>
      <c r="C147" s="3" t="inlineStr">
        <is>
          <t>DIN 965 TX</t>
        </is>
      </c>
      <c r="D147" s="4" t="inlineStr">
        <is>
          <t>پیچ سرخزینه تورکس</t>
        </is>
      </c>
      <c r="E147" s="4" t="inlineStr">
        <is>
          <t>Countersunk head screws, TORX (DIN 965)</t>
        </is>
      </c>
      <c r="F147" s="4" t="inlineStr">
        <is>
          <t>پیچ دوسو و چهارسو</t>
        </is>
      </c>
      <c r="G147" s="2" t="n">
        <v>3</v>
      </c>
      <c r="H147" s="4" t="inlineStr">
        <is>
          <t>DIN EN ISO 7046-1, 7046-2</t>
        </is>
      </c>
      <c r="I147" s="4" t="inlineStr"/>
      <c r="J147" s="4" t="inlineStr">
        <is>
          <t>M1.4 – M6</t>
        </is>
      </c>
      <c r="K147" s="2" t="n">
        <v>8</v>
      </c>
      <c r="L147" s="4" t="inlineStr">
        <is>
          <t>فولاد 4.8، فولاد 8.8، استیل A2-70، استیل A4-70</t>
        </is>
      </c>
      <c r="M147" s="4" t="inlineStr">
        <is>
          <t>پیچ خزینه آلن ستاره‌ای سر تخت</t>
        </is>
      </c>
      <c r="N147" s="2" t="n">
        <v>0</v>
      </c>
      <c r="O147" s="2" t="inlineStr">
        <is>
          <t>دارد</t>
        </is>
      </c>
      <c r="P147" s="2" t="inlineStr">
        <is>
          <t>دارد</t>
        </is>
      </c>
      <c r="Q147" s="2" t="inlineStr">
        <is>
          <t>دارد</t>
        </is>
      </c>
    </row>
    <row r="148">
      <c r="A148" s="2" t="n">
        <v>147</v>
      </c>
      <c r="B148" s="2" t="inlineStr">
        <is>
          <t>DIN</t>
        </is>
      </c>
      <c r="C148" s="3" t="inlineStr">
        <is>
          <t>DIN 966</t>
        </is>
      </c>
      <c r="D148" s="4" t="inlineStr">
        <is>
          <t>پیچ چهارسو سرخزینه عدسی</t>
        </is>
      </c>
      <c r="E148" s="4" t="inlineStr">
        <is>
          <t>Cross recessed raised countersunk head screws</t>
        </is>
      </c>
      <c r="F148" s="4" t="inlineStr">
        <is>
          <t>پیچ دوسو و چهارسو</t>
        </is>
      </c>
      <c r="G148" s="2" t="n">
        <v>3</v>
      </c>
      <c r="H148" s="4" t="inlineStr">
        <is>
          <t>DIN EN ISO 7047</t>
        </is>
      </c>
      <c r="I148" s="4" t="inlineStr">
        <is>
          <t>ISO 7047، CSN 021156، PN 82212، UNI 7689</t>
        </is>
      </c>
      <c r="J148" s="4" t="inlineStr">
        <is>
          <t>M1.6 – M10</t>
        </is>
      </c>
      <c r="K148" s="2" t="n">
        <v>10</v>
      </c>
      <c r="L148" s="4" t="inlineStr">
        <is>
          <t>فولاد 5.8، استیل A2-70، استیل A4-70</t>
        </is>
      </c>
      <c r="M148" s="4" t="inlineStr">
        <is>
          <t>پیچ خزینه چهارسو سر عدسی</t>
        </is>
      </c>
      <c r="N148" s="2" t="n">
        <v>138</v>
      </c>
      <c r="O148" s="2" t="inlineStr">
        <is>
          <t>دارد</t>
        </is>
      </c>
      <c r="P148" s="2" t="inlineStr">
        <is>
          <t>دارد</t>
        </is>
      </c>
      <c r="Q148" s="2" t="inlineStr">
        <is>
          <t>دارد</t>
        </is>
      </c>
    </row>
    <row r="149">
      <c r="A149" s="2" t="n">
        <v>148</v>
      </c>
      <c r="B149" s="2" t="inlineStr">
        <is>
          <t>DIN</t>
        </is>
      </c>
      <c r="C149" s="3" t="inlineStr">
        <is>
          <t>DIN 967</t>
        </is>
      </c>
      <c r="D149" s="4" t="inlineStr">
        <is>
          <t>پیچ چهارسو سر عدسی واشر‌دار</t>
        </is>
      </c>
      <c r="E149" s="4" t="inlineStr">
        <is>
          <t>Cross recessed pan head screws with collar</t>
        </is>
      </c>
      <c r="F149" s="4" t="inlineStr">
        <is>
          <t>پیچ دوسو و چهارسو</t>
        </is>
      </c>
      <c r="G149" s="2" t="n">
        <v>3</v>
      </c>
      <c r="H149" s="4" t="inlineStr">
        <is>
          <t>DIN 967</t>
        </is>
      </c>
      <c r="I149" s="4" t="inlineStr"/>
      <c r="J149" s="4" t="inlineStr">
        <is>
          <t>M3 – M8</t>
        </is>
      </c>
      <c r="K149" s="2" t="n">
        <v>6</v>
      </c>
      <c r="L149" s="4" t="inlineStr">
        <is>
          <t>فولاد 4.8، فولاد 5.8، استیل A2-70، استیل A4-70</t>
        </is>
      </c>
      <c r="M149" s="4" t="inlineStr"/>
      <c r="N149" s="2" t="n">
        <v>73</v>
      </c>
      <c r="O149" s="2" t="inlineStr">
        <is>
          <t>دارد</t>
        </is>
      </c>
      <c r="P149" s="2" t="inlineStr">
        <is>
          <t>دارد</t>
        </is>
      </c>
      <c r="Q149" s="2" t="inlineStr">
        <is>
          <t>دارد</t>
        </is>
      </c>
    </row>
    <row r="150">
      <c r="A150" s="2" t="n">
        <v>149</v>
      </c>
      <c r="B150" s="2" t="inlineStr">
        <is>
          <t>DIN</t>
        </is>
      </c>
      <c r="C150" s="3" t="inlineStr">
        <is>
          <t>DIN 975</t>
        </is>
      </c>
      <c r="D150" s="4" t="inlineStr">
        <is>
          <t>میل رزوه (میلهٔ تمام رزوه)</t>
        </is>
      </c>
      <c r="E150" s="4" t="inlineStr">
        <is>
          <t>Threaded rods</t>
        </is>
      </c>
      <c r="F150" s="4" t="inlineStr">
        <is>
          <t>استاد بولت و میل‌رزوه</t>
        </is>
      </c>
      <c r="G150" s="2" t="n">
        <v>1</v>
      </c>
      <c r="H150" s="4" t="inlineStr"/>
      <c r="I150" s="4" t="inlineStr"/>
      <c r="J150" s="4" t="inlineStr">
        <is>
          <t>M2 – M52</t>
        </is>
      </c>
      <c r="K150" s="2" t="n">
        <v>25</v>
      </c>
      <c r="L150" s="4" t="inlineStr">
        <is>
          <t>فولاد 5.8، فولاد 8.8، فولاد 10.9، استیل A2-70، استیل A4-70</t>
        </is>
      </c>
      <c r="M150" s="4" t="inlineStr">
        <is>
          <t>پیچ متری</t>
        </is>
      </c>
      <c r="N150" s="2" t="n">
        <v>25</v>
      </c>
      <c r="O150" s="2" t="inlineStr">
        <is>
          <t>دارد</t>
        </is>
      </c>
      <c r="P150" s="2" t="inlineStr">
        <is>
          <t>دارد</t>
        </is>
      </c>
      <c r="Q150" s="2" t="inlineStr">
        <is>
          <t>دارد</t>
        </is>
      </c>
    </row>
    <row r="151">
      <c r="A151" s="2" t="n">
        <v>150</v>
      </c>
      <c r="B151" s="2" t="inlineStr">
        <is>
          <t>DIN</t>
        </is>
      </c>
      <c r="C151" s="3" t="inlineStr">
        <is>
          <t>DIN 975 TR</t>
        </is>
      </c>
      <c r="D151" s="4" t="inlineStr">
        <is>
          <t>میل رزوه ذوزنقه‌ای</t>
        </is>
      </c>
      <c r="E151" s="4" t="inlineStr">
        <is>
          <t>Threaded rods, trapezoidal thread</t>
        </is>
      </c>
      <c r="F151" s="4" t="inlineStr">
        <is>
          <t>استاد بولت و میل‌رزوه</t>
        </is>
      </c>
      <c r="G151" s="2" t="n">
        <v>1</v>
      </c>
      <c r="H151" s="4" t="inlineStr"/>
      <c r="I151" s="4" t="inlineStr"/>
      <c r="J151" s="4" t="inlineStr">
        <is>
          <t>TR10×2 – TR100</t>
        </is>
      </c>
      <c r="K151" s="2" t="n">
        <v>28</v>
      </c>
      <c r="L151" s="4" t="inlineStr">
        <is>
          <t>فولاد 5.6</t>
        </is>
      </c>
      <c r="M151" s="4" t="inlineStr">
        <is>
          <t>پیچ متری دنده کبریتی</t>
        </is>
      </c>
      <c r="N151" s="2" t="n">
        <v>28</v>
      </c>
      <c r="O151" s="2" t="inlineStr">
        <is>
          <t>دارد</t>
        </is>
      </c>
      <c r="P151" s="2" t="inlineStr">
        <is>
          <t>دارد</t>
        </is>
      </c>
      <c r="Q151" s="2" t="inlineStr">
        <is>
          <t>دارد</t>
        </is>
      </c>
    </row>
    <row r="152">
      <c r="A152" s="2" t="n">
        <v>151</v>
      </c>
      <c r="B152" s="2" t="inlineStr">
        <is>
          <t>DIN</t>
        </is>
      </c>
      <c r="C152" s="3" t="inlineStr">
        <is>
          <t>DIN 976</t>
        </is>
      </c>
      <c r="D152" s="4" t="inlineStr">
        <is>
          <t>میل رزوه / استاد بولت</t>
        </is>
      </c>
      <c r="E152" s="4" t="inlineStr">
        <is>
          <t>Threaded rods / stud bolts</t>
        </is>
      </c>
      <c r="F152" s="4" t="inlineStr">
        <is>
          <t>استاد بولت و میل‌رزوه</t>
        </is>
      </c>
      <c r="G152" s="2" t="n">
        <v>1</v>
      </c>
      <c r="H152" s="4" t="inlineStr">
        <is>
          <t>DIN 976-1</t>
        </is>
      </c>
      <c r="I152" s="4" t="inlineStr">
        <is>
          <t>UNI 6610</t>
        </is>
      </c>
      <c r="J152" s="4" t="inlineStr">
        <is>
          <t>M2 – M52</t>
        </is>
      </c>
      <c r="K152" s="2" t="n">
        <v>25</v>
      </c>
      <c r="L152" s="4" t="inlineStr">
        <is>
          <t>فولاد 5.8، فولاد 8.8، فولاد 10.9، فولاد 12.9، استیل A2-70، استیل A4-70</t>
        </is>
      </c>
      <c r="M152" s="4" t="inlineStr">
        <is>
          <t>استادبولت</t>
        </is>
      </c>
      <c r="N152" s="2" t="n">
        <v>0</v>
      </c>
      <c r="O152" s="2" t="inlineStr">
        <is>
          <t>دارد</t>
        </is>
      </c>
      <c r="P152" s="2" t="inlineStr">
        <is>
          <t>دارد</t>
        </is>
      </c>
      <c r="Q152" s="2" t="inlineStr">
        <is>
          <t>دارد</t>
        </is>
      </c>
    </row>
    <row r="153">
      <c r="A153" s="2" t="n">
        <v>152</v>
      </c>
      <c r="B153" s="2" t="inlineStr">
        <is>
          <t>DIN</t>
        </is>
      </c>
      <c r="C153" s="3" t="inlineStr">
        <is>
          <t>DIN 976 TR</t>
        </is>
      </c>
      <c r="D153" s="4" t="inlineStr">
        <is>
          <t>میل رزوه ذوزنقه‌ای (استاد بولت)</t>
        </is>
      </c>
      <c r="E153" s="4" t="inlineStr">
        <is>
          <t>Threaded rods, trapezoidal thread</t>
        </is>
      </c>
      <c r="F153" s="4" t="inlineStr">
        <is>
          <t>استاد بولت و میل‌رزوه</t>
        </is>
      </c>
      <c r="G153" s="2" t="n">
        <v>1</v>
      </c>
      <c r="H153" s="4" t="inlineStr"/>
      <c r="I153" s="4" t="inlineStr">
        <is>
          <t>UNI 6610</t>
        </is>
      </c>
      <c r="J153" s="4" t="inlineStr">
        <is>
          <t>TR10×2 – TR100</t>
        </is>
      </c>
      <c r="K153" s="2" t="n">
        <v>28</v>
      </c>
      <c r="L153" s="4" t="inlineStr">
        <is>
          <t>فولاد 5.6</t>
        </is>
      </c>
      <c r="M153" s="4" t="inlineStr">
        <is>
          <t>استادبولت دنده کبریتی</t>
        </is>
      </c>
      <c r="N153" s="2" t="n">
        <v>0</v>
      </c>
      <c r="O153" s="2" t="inlineStr">
        <is>
          <t>دارد</t>
        </is>
      </c>
      <c r="P153" s="2" t="inlineStr">
        <is>
          <t>دارد</t>
        </is>
      </c>
      <c r="Q153" s="2" t="inlineStr">
        <is>
          <t>دارد</t>
        </is>
      </c>
    </row>
    <row r="154">
      <c r="A154" s="2" t="n">
        <v>153</v>
      </c>
      <c r="B154" s="2" t="inlineStr">
        <is>
          <t>DIN</t>
        </is>
      </c>
      <c r="C154" s="3" t="inlineStr">
        <is>
          <t>DIN 977</t>
        </is>
      </c>
      <c r="D154" s="4" t="inlineStr">
        <is>
          <t>مهره جوشی شش‌گوش فلنج‌دار</t>
        </is>
      </c>
      <c r="E154" s="4" t="inlineStr">
        <is>
          <t>Hexagon weld nuts with flange</t>
        </is>
      </c>
      <c r="F154" s="4" t="inlineStr">
        <is>
          <t>مهره</t>
        </is>
      </c>
      <c r="G154" s="2" t="n">
        <v>2</v>
      </c>
      <c r="H154" s="4" t="inlineStr">
        <is>
          <t>DIN EN ISO 21670</t>
        </is>
      </c>
      <c r="I154" s="4" t="inlineStr"/>
      <c r="J154" s="4" t="inlineStr">
        <is>
          <t>M5 – M16</t>
        </is>
      </c>
      <c r="K154" s="2" t="n">
        <v>7</v>
      </c>
      <c r="L154" s="4" t="inlineStr">
        <is>
          <t>فولاد جوش‌پذیر (کربن حداکثر 0.25%)، استیل A2-70، استیل A4-70</t>
        </is>
      </c>
      <c r="M154" s="4" t="inlineStr">
        <is>
          <t>مهره جوشی شش‌گوش واشردار</t>
        </is>
      </c>
      <c r="N154" s="2" t="n">
        <v>7</v>
      </c>
      <c r="O154" s="2" t="inlineStr">
        <is>
          <t>دارد</t>
        </is>
      </c>
      <c r="P154" s="2" t="inlineStr">
        <is>
          <t>دارد</t>
        </is>
      </c>
      <c r="Q154" s="2" t="inlineStr">
        <is>
          <t>دارد</t>
        </is>
      </c>
    </row>
    <row r="155">
      <c r="A155" s="2" t="n">
        <v>154</v>
      </c>
      <c r="B155" s="2" t="inlineStr">
        <is>
          <t>DIN</t>
        </is>
      </c>
      <c r="C155" s="3" t="inlineStr">
        <is>
          <t>DIN 979</t>
        </is>
      </c>
      <c r="D155" s="4" t="inlineStr">
        <is>
          <t>مهره کنگره‌ای نازک</t>
        </is>
      </c>
      <c r="E155" s="4" t="inlineStr">
        <is>
          <t>Hexagon thin slotted and castle nuts</t>
        </is>
      </c>
      <c r="F155" s="4" t="inlineStr">
        <is>
          <t>مهره</t>
        </is>
      </c>
      <c r="G155" s="2" t="n">
        <v>2</v>
      </c>
      <c r="H155" s="4" t="inlineStr">
        <is>
          <t>DIN 979</t>
        </is>
      </c>
      <c r="I155" s="4" t="inlineStr"/>
      <c r="J155" s="4" t="inlineStr">
        <is>
          <t>M8 – M52</t>
        </is>
      </c>
      <c r="K155" s="2" t="n">
        <v>18</v>
      </c>
      <c r="L155" s="4" t="inlineStr">
        <is>
          <t>کلاس 5، کلاس 8، کلاس 10، استیل A2-70، استیل A4-70</t>
        </is>
      </c>
      <c r="M155" s="4" t="inlineStr">
        <is>
          <t>مهره شش‌گوش چاکدار تاجدار، مهره قلعه‌ای کوتاه مخصوص اشپیل</t>
        </is>
      </c>
      <c r="N155" s="2" t="n">
        <v>18</v>
      </c>
      <c r="O155" s="2" t="inlineStr">
        <is>
          <t>دارد</t>
        </is>
      </c>
      <c r="P155" s="2" t="inlineStr">
        <is>
          <t>دارد</t>
        </is>
      </c>
      <c r="Q155" s="2" t="inlineStr">
        <is>
          <t>دارد</t>
        </is>
      </c>
    </row>
    <row r="156">
      <c r="A156" s="2" t="n">
        <v>155</v>
      </c>
      <c r="B156" s="2" t="inlineStr">
        <is>
          <t>DIN</t>
        </is>
      </c>
      <c r="C156" s="3" t="inlineStr">
        <is>
          <t>DIN 980</t>
        </is>
      </c>
      <c r="D156" s="4" t="inlineStr">
        <is>
          <t>مهره قفلی تمام فلزی</t>
        </is>
      </c>
      <c r="E156" s="4" t="inlineStr">
        <is>
          <t>Prevailing torque hexagon nuts, all-metal</t>
        </is>
      </c>
      <c r="F156" s="4" t="inlineStr">
        <is>
          <t>مهره قفلی</t>
        </is>
      </c>
      <c r="G156" s="2" t="n">
        <v>1</v>
      </c>
      <c r="H156" s="4" t="inlineStr">
        <is>
          <t>DIN EN ISO 7042,10513</t>
        </is>
      </c>
      <c r="I156" s="4" t="inlineStr">
        <is>
          <t>ISO 7042، CSN 021492، PN 82176</t>
        </is>
      </c>
      <c r="J156" s="4" t="inlineStr">
        <is>
          <t>M3 – M39X3</t>
        </is>
      </c>
      <c r="K156" s="2" t="n">
        <v>38</v>
      </c>
      <c r="L156" s="4" t="inlineStr">
        <is>
          <t>کلاس 8، کلاس 10، کلاس 12، استیل A2-70، استیل A4-70</t>
        </is>
      </c>
      <c r="M156" s="4" t="inlineStr"/>
      <c r="N156" s="2" t="n">
        <v>38</v>
      </c>
      <c r="O156" s="2" t="inlineStr">
        <is>
          <t>دارد</t>
        </is>
      </c>
      <c r="P156" s="2" t="inlineStr">
        <is>
          <t>دارد</t>
        </is>
      </c>
      <c r="Q156" s="2" t="inlineStr">
        <is>
          <t>دارد</t>
        </is>
      </c>
    </row>
    <row r="157">
      <c r="A157" s="2" t="n">
        <v>156</v>
      </c>
      <c r="B157" s="2" t="inlineStr">
        <is>
          <t>DIN</t>
        </is>
      </c>
      <c r="C157" s="3" t="inlineStr">
        <is>
          <t>DIN 981</t>
        </is>
      </c>
      <c r="D157" s="4" t="inlineStr">
        <is>
          <t>مهره رینگی (مهره بلبرینگ)</t>
        </is>
      </c>
      <c r="E157" s="4" t="inlineStr">
        <is>
          <t>Slotted round nuts (KM locknuts)</t>
        </is>
      </c>
      <c r="F157" s="4" t="inlineStr">
        <is>
          <t>مهره</t>
        </is>
      </c>
      <c r="G157" s="2" t="n">
        <v>2</v>
      </c>
      <c r="H157" s="4" t="inlineStr">
        <is>
          <t>DIN 981</t>
        </is>
      </c>
      <c r="I157" s="4" t="inlineStr">
        <is>
          <t>CSN 023630</t>
        </is>
      </c>
      <c r="J157" s="4" t="inlineStr">
        <is>
          <t>M10X0.75 – M140X2</t>
        </is>
      </c>
      <c r="K157" s="2" t="n">
        <v>31</v>
      </c>
      <c r="L157" s="4" t="inlineStr">
        <is>
          <t>فولاد کربنی، استیل A2-70، استیل A4-70</t>
        </is>
      </c>
      <c r="M157" s="4" t="inlineStr">
        <is>
          <t>مهره چاکنت، مهره قفلی گرد شیاردار بلبرینگ، مهره مخصوص تثبیت بلبرینگ روی شفت</t>
        </is>
      </c>
      <c r="N157" s="2" t="n">
        <v>31</v>
      </c>
      <c r="O157" s="2" t="inlineStr">
        <is>
          <t>دارد</t>
        </is>
      </c>
      <c r="P157" s="2" t="inlineStr">
        <is>
          <t>دارد</t>
        </is>
      </c>
      <c r="Q157" s="2" t="inlineStr">
        <is>
          <t>دارد</t>
        </is>
      </c>
    </row>
    <row r="158">
      <c r="A158" s="2" t="n">
        <v>157</v>
      </c>
      <c r="B158" s="2" t="inlineStr">
        <is>
          <t>DIN</t>
        </is>
      </c>
      <c r="C158" s="3" t="inlineStr">
        <is>
          <t>DIN 982</t>
        </is>
      </c>
      <c r="D158" s="4" t="inlineStr">
        <is>
          <t>مهره قفلی کاسه نمدی بلند</t>
        </is>
      </c>
      <c r="E158" s="4" t="inlineStr">
        <is>
          <t>Prevailing torque hexagon nuts, non-metallic insert, high type</t>
        </is>
      </c>
      <c r="F158" s="4" t="inlineStr">
        <is>
          <t>مهره قفلی</t>
        </is>
      </c>
      <c r="G158" s="2" t="n">
        <v>2</v>
      </c>
      <c r="H158" s="4" t="inlineStr">
        <is>
          <t>DIN EN ISO 7040, 10512</t>
        </is>
      </c>
      <c r="I158" s="4" t="inlineStr">
        <is>
          <t>ISO 7040، CSN 021492، UNI 7473</t>
        </is>
      </c>
      <c r="J158" s="4" t="inlineStr">
        <is>
          <t>M5 – M24X2</t>
        </is>
      </c>
      <c r="K158" s="2" t="n">
        <v>24</v>
      </c>
      <c r="L158" s="4" t="inlineStr">
        <is>
          <t>کلاس 8، کلاس 10، استیل A2-70، استیل A4-70</t>
        </is>
      </c>
      <c r="M158" s="4" t="inlineStr"/>
      <c r="N158" s="2" t="n">
        <v>24</v>
      </c>
      <c r="O158" s="2" t="inlineStr">
        <is>
          <t>دارد</t>
        </is>
      </c>
      <c r="P158" s="2" t="inlineStr">
        <is>
          <t>دارد</t>
        </is>
      </c>
      <c r="Q158" s="2" t="inlineStr">
        <is>
          <t>دارد</t>
        </is>
      </c>
    </row>
    <row r="159">
      <c r="A159" s="2" t="n">
        <v>158</v>
      </c>
      <c r="B159" s="2" t="inlineStr">
        <is>
          <t>DIN</t>
        </is>
      </c>
      <c r="C159" s="3" t="inlineStr">
        <is>
          <t>DIN 983</t>
        </is>
      </c>
      <c r="D159" s="4" t="inlineStr">
        <is>
          <t>خار محور گوشواره‌دار</t>
        </is>
      </c>
      <c r="E159" s="4" t="inlineStr">
        <is>
          <t>External retaining rings with lugs</t>
        </is>
      </c>
      <c r="F159" s="4" t="inlineStr">
        <is>
          <t>خار</t>
        </is>
      </c>
      <c r="G159" s="2" t="n">
        <v>3</v>
      </c>
      <c r="H159" s="4" t="inlineStr">
        <is>
          <t>DIN 983</t>
        </is>
      </c>
      <c r="I159" s="4" t="inlineStr"/>
      <c r="J159" s="4" t="inlineStr">
        <is>
          <t>16 – 140</t>
        </is>
      </c>
      <c r="K159" s="2" t="n">
        <v>40</v>
      </c>
      <c r="L159" s="4" t="inlineStr">
        <is>
          <t>فولاد فنری C67S، C75S، استیل فنری 1.4310، 1.4122</t>
        </is>
      </c>
      <c r="M159" s="4" t="inlineStr"/>
      <c r="N159" s="2" t="n">
        <v>40</v>
      </c>
      <c r="O159" s="2" t="inlineStr">
        <is>
          <t>دارد</t>
        </is>
      </c>
      <c r="P159" s="2" t="inlineStr">
        <is>
          <t>دارد</t>
        </is>
      </c>
      <c r="Q159" s="2" t="inlineStr">
        <is>
          <t>دارد</t>
        </is>
      </c>
    </row>
    <row r="160">
      <c r="A160" s="2" t="n">
        <v>159</v>
      </c>
      <c r="B160" s="2" t="inlineStr">
        <is>
          <t>DIN</t>
        </is>
      </c>
      <c r="C160" s="3" t="inlineStr">
        <is>
          <t>DIN 984</t>
        </is>
      </c>
      <c r="D160" s="4" t="inlineStr">
        <is>
          <t>خار سوراخ گوشواره‌دار</t>
        </is>
      </c>
      <c r="E160" s="4" t="inlineStr">
        <is>
          <t>Internal retaining rings with lugs</t>
        </is>
      </c>
      <c r="F160" s="4" t="inlineStr">
        <is>
          <t>خار</t>
        </is>
      </c>
      <c r="G160" s="2" t="n">
        <v>3</v>
      </c>
      <c r="H160" s="4" t="inlineStr">
        <is>
          <t>DIN 984</t>
        </is>
      </c>
      <c r="I160" s="4" t="inlineStr"/>
      <c r="J160" s="4" t="inlineStr">
        <is>
          <t>18.3 – 79.5</t>
        </is>
      </c>
      <c r="K160" s="2" t="n">
        <v>22</v>
      </c>
      <c r="L160" s="4" t="inlineStr">
        <is>
          <t>فولاد فنری C67S، C75S، استیل فنری 1.4310، 1.4122</t>
        </is>
      </c>
      <c r="M160" s="4" t="inlineStr"/>
      <c r="N160" s="2" t="n">
        <v>22</v>
      </c>
      <c r="O160" s="2" t="inlineStr">
        <is>
          <t>دارد</t>
        </is>
      </c>
      <c r="P160" s="2" t="inlineStr">
        <is>
          <t>دارد</t>
        </is>
      </c>
      <c r="Q160" s="2" t="inlineStr">
        <is>
          <t>دارد</t>
        </is>
      </c>
    </row>
    <row r="161">
      <c r="A161" s="2" t="n">
        <v>160</v>
      </c>
      <c r="B161" s="2" t="inlineStr">
        <is>
          <t>DIN</t>
        </is>
      </c>
      <c r="C161" s="3" t="inlineStr">
        <is>
          <t>DIN 985</t>
        </is>
      </c>
      <c r="D161" s="4" t="inlineStr">
        <is>
          <t>مهره قفلی کاسه نمدی</t>
        </is>
      </c>
      <c r="E161" s="4" t="inlineStr">
        <is>
          <t>Prevailing torque hexagon thin nuts, non-metallic insert</t>
        </is>
      </c>
      <c r="F161" s="4" t="inlineStr">
        <is>
          <t>مهره قفلی</t>
        </is>
      </c>
      <c r="G161" s="2" t="n">
        <v>1</v>
      </c>
      <c r="H161" s="4" t="inlineStr">
        <is>
          <t>DIN EN ISO 10511</t>
        </is>
      </c>
      <c r="I161" s="4" t="inlineStr">
        <is>
          <t>ISO 10511، CSN 021492، UNI 7474</t>
        </is>
      </c>
      <c r="J161" s="4" t="inlineStr">
        <is>
          <t>M4 – M20</t>
        </is>
      </c>
      <c r="K161" s="2" t="n">
        <v>8</v>
      </c>
      <c r="L161" s="4" t="inlineStr">
        <is>
          <t>کلاس 8، کلاس 10، استیل A2-70، استیل A4-70</t>
        </is>
      </c>
      <c r="M161" s="4" t="inlineStr"/>
      <c r="N161" s="2" t="n">
        <v>32</v>
      </c>
      <c r="O161" s="2" t="inlineStr">
        <is>
          <t>دارد</t>
        </is>
      </c>
      <c r="P161" s="2" t="inlineStr">
        <is>
          <t>دارد</t>
        </is>
      </c>
      <c r="Q161" s="2" t="inlineStr">
        <is>
          <t>دارد</t>
        </is>
      </c>
    </row>
    <row r="162">
      <c r="A162" s="2" t="n">
        <v>161</v>
      </c>
      <c r="B162" s="2" t="inlineStr">
        <is>
          <t>DIN</t>
        </is>
      </c>
      <c r="C162" s="3" t="inlineStr">
        <is>
          <t>DIN 986</t>
        </is>
      </c>
      <c r="D162" s="4" t="inlineStr">
        <is>
          <t>مهره قفلی کلاهک‌دار نایلونی</t>
        </is>
      </c>
      <c r="E162" s="4" t="inlineStr">
        <is>
          <t>Prevailing torque hexagon domed cap nuts, non-metallic insert</t>
        </is>
      </c>
      <c r="F162" s="4" t="inlineStr">
        <is>
          <t>مهره قفلی</t>
        </is>
      </c>
      <c r="G162" s="2" t="n">
        <v>2</v>
      </c>
      <c r="H162" s="4" t="inlineStr">
        <is>
          <t>DIN 986</t>
        </is>
      </c>
      <c r="I162" s="4" t="inlineStr"/>
      <c r="J162" s="4" t="inlineStr">
        <is>
          <t>M4 – M20X2</t>
        </is>
      </c>
      <c r="K162" s="2" t="n">
        <v>18</v>
      </c>
      <c r="L162" s="4" t="inlineStr">
        <is>
          <t>کلاس 8، کلاس 10، استیل A2-70، استیل A4-70</t>
        </is>
      </c>
      <c r="M162" s="4" t="inlineStr">
        <is>
          <t>مهره سر بسته قفلی کاسه نمدی</t>
        </is>
      </c>
      <c r="N162" s="2" t="n">
        <v>18</v>
      </c>
      <c r="O162" s="2" t="inlineStr">
        <is>
          <t>دارد</t>
        </is>
      </c>
      <c r="P162" s="2" t="inlineStr">
        <is>
          <t>دارد</t>
        </is>
      </c>
      <c r="Q162" s="2" t="inlineStr">
        <is>
          <t>دارد</t>
        </is>
      </c>
    </row>
    <row r="163">
      <c r="A163" s="2" t="n">
        <v>162</v>
      </c>
      <c r="B163" s="2" t="inlineStr">
        <is>
          <t>DIN</t>
        </is>
      </c>
      <c r="C163" s="3" t="inlineStr">
        <is>
          <t>DIN 988</t>
        </is>
      </c>
      <c r="D163" s="4" t="inlineStr">
        <is>
          <t>شیم و رینگ تکیه گاه</t>
        </is>
      </c>
      <c r="E163" s="4" t="inlineStr">
        <is>
          <t>Shim rings and supporting rings</t>
        </is>
      </c>
      <c r="F163" s="4" t="inlineStr">
        <is>
          <t>خار</t>
        </is>
      </c>
      <c r="G163" s="2" t="n">
        <v>2</v>
      </c>
      <c r="H163" s="4" t="inlineStr">
        <is>
          <t>DIN 988</t>
        </is>
      </c>
      <c r="I163" s="4" t="inlineStr">
        <is>
          <t>CSN 021702</t>
        </is>
      </c>
      <c r="J163" s="4" t="inlineStr">
        <is>
          <t>3 – 40</t>
        </is>
      </c>
      <c r="K163" s="2" t="n">
        <v>30</v>
      </c>
      <c r="L163" s="4" t="inlineStr">
        <is>
          <t>فولاد فنری یا فولاد کربنی، استیل A2</t>
        </is>
      </c>
      <c r="M163" s="4" t="inlineStr">
        <is>
          <t>واشر تنظیم، واشر فاصله گذار دقیق</t>
        </is>
      </c>
      <c r="N163" s="2" t="n">
        <v>30</v>
      </c>
      <c r="O163" s="2" t="inlineStr">
        <is>
          <t>دارد</t>
        </is>
      </c>
      <c r="P163" s="2" t="inlineStr">
        <is>
          <t>دارد</t>
        </is>
      </c>
      <c r="Q163" s="2" t="inlineStr">
        <is>
          <t>دارد</t>
        </is>
      </c>
    </row>
    <row r="164">
      <c r="A164" s="2" t="n">
        <v>163</v>
      </c>
      <c r="B164" s="2" t="inlineStr">
        <is>
          <t>DIN</t>
        </is>
      </c>
      <c r="C164" s="3" t="inlineStr">
        <is>
          <t>DIN 1052</t>
        </is>
      </c>
      <c r="D164" s="4" t="inlineStr">
        <is>
          <t>واشر سازهٔ چوبی</t>
        </is>
      </c>
      <c r="E164" s="4" t="inlineStr">
        <is>
          <t>Washers for wood constructions</t>
        </is>
      </c>
      <c r="F164" s="4" t="inlineStr">
        <is>
          <t>واشر</t>
        </is>
      </c>
      <c r="G164" s="2" t="n">
        <v>2</v>
      </c>
      <c r="H164" s="4" t="inlineStr">
        <is>
          <t>DIN EN 1995-1-1, 1995-1-1/NA</t>
        </is>
      </c>
      <c r="I164" s="4" t="inlineStr">
        <is>
          <t>CSN 021727</t>
        </is>
      </c>
      <c r="J164" s="4" t="inlineStr">
        <is>
          <t>M12 – M24</t>
        </is>
      </c>
      <c r="K164" s="2" t="n">
        <v>5</v>
      </c>
      <c r="L164" s="4" t="inlineStr">
        <is>
          <t>فولاد کربنی ساده یا گالوانیزه</t>
        </is>
      </c>
      <c r="M164" s="4" t="inlineStr">
        <is>
          <t>واشر تخت بزرگ مخصوص اتصالات سازه های چوبی</t>
        </is>
      </c>
      <c r="N164" s="2" t="n">
        <v>5</v>
      </c>
      <c r="O164" s="2" t="inlineStr">
        <is>
          <t>دارد</t>
        </is>
      </c>
      <c r="P164" s="2" t="inlineStr">
        <is>
          <t>دارد</t>
        </is>
      </c>
      <c r="Q164" s="2" t="inlineStr">
        <is>
          <t>دارد</t>
        </is>
      </c>
    </row>
    <row r="165">
      <c r="A165" s="2" t="n">
        <v>164</v>
      </c>
      <c r="B165" s="2" t="inlineStr">
        <is>
          <t>DIN</t>
        </is>
      </c>
      <c r="C165" s="3" t="inlineStr">
        <is>
          <t>DIN 1440</t>
        </is>
      </c>
      <c r="D165" s="4" t="inlineStr">
        <is>
          <t>واشر پین متوسط</t>
        </is>
      </c>
      <c r="E165" s="4" t="inlineStr">
        <is>
          <t>Washers for clevis pins, medium</t>
        </is>
      </c>
      <c r="F165" s="4" t="inlineStr">
        <is>
          <t>واشر</t>
        </is>
      </c>
      <c r="G165" s="2" t="n">
        <v>2</v>
      </c>
      <c r="H165" s="4" t="inlineStr">
        <is>
          <t>DIN EN 28738</t>
        </is>
      </c>
      <c r="I165" s="4" t="inlineStr">
        <is>
          <t>ISO 8738، CSN 021706، PN 82004، EU 28738</t>
        </is>
      </c>
      <c r="J165" s="4" t="inlineStr">
        <is>
          <t>M3 – M100</t>
        </is>
      </c>
      <c r="K165" s="2" t="n">
        <v>38</v>
      </c>
      <c r="L165" s="4" t="inlineStr">
        <is>
          <t>فولاد کربنی گالوانیزه، استیل A2، استیل A4</t>
        </is>
      </c>
      <c r="M165" s="4" t="inlineStr">
        <is>
          <t>واشر تخت مخصوص پین و محور</t>
        </is>
      </c>
      <c r="N165" s="2" t="n">
        <v>38</v>
      </c>
      <c r="O165" s="2" t="inlineStr">
        <is>
          <t>دارد</t>
        </is>
      </c>
      <c r="P165" s="2" t="inlineStr">
        <is>
          <t>دارد</t>
        </is>
      </c>
      <c r="Q165" s="2" t="inlineStr">
        <is>
          <t>دارد</t>
        </is>
      </c>
    </row>
    <row r="166">
      <c r="A166" s="2" t="n">
        <v>165</v>
      </c>
      <c r="B166" s="2" t="inlineStr">
        <is>
          <t>DIN</t>
        </is>
      </c>
      <c r="C166" s="3" t="inlineStr">
        <is>
          <t>DIN 1441</t>
        </is>
      </c>
      <c r="D166" s="4" t="inlineStr">
        <is>
          <t>واشر پین زبر</t>
        </is>
      </c>
      <c r="E166" s="4" t="inlineStr">
        <is>
          <t>Washers for clevis pins, coarse</t>
        </is>
      </c>
      <c r="F166" s="4" t="inlineStr">
        <is>
          <t>واشر</t>
        </is>
      </c>
      <c r="G166" s="2" t="n">
        <v>2</v>
      </c>
      <c r="H166" s="4" t="inlineStr">
        <is>
          <t>DIN 1441</t>
        </is>
      </c>
      <c r="I166" s="4" t="inlineStr">
        <is>
          <t>ISO 8738، CSN 021706، EU 28738</t>
        </is>
      </c>
      <c r="J166" s="4" t="inlineStr">
        <is>
          <t>M5 – M100</t>
        </is>
      </c>
      <c r="K166" s="2" t="n">
        <v>36</v>
      </c>
      <c r="L166" s="4" t="inlineStr">
        <is>
          <t>فولاد کربنی گالوانیزه، استیل A2، استیل A4</t>
        </is>
      </c>
      <c r="M166" s="4" t="inlineStr">
        <is>
          <t>واشر تخت مخصوص پین و محور سری بزرگ</t>
        </is>
      </c>
      <c r="N166" s="2" t="n">
        <v>36</v>
      </c>
      <c r="O166" s="2" t="inlineStr">
        <is>
          <t>دارد</t>
        </is>
      </c>
      <c r="P166" s="2" t="inlineStr">
        <is>
          <t>دارد</t>
        </is>
      </c>
      <c r="Q166" s="2" t="inlineStr">
        <is>
          <t>دارد</t>
        </is>
      </c>
    </row>
    <row r="167">
      <c r="A167" s="2" t="n">
        <v>166</v>
      </c>
      <c r="B167" s="2" t="inlineStr">
        <is>
          <t>DIN</t>
        </is>
      </c>
      <c r="C167" s="3" t="inlineStr">
        <is>
          <t>DIN 1443</t>
        </is>
      </c>
      <c r="D167" s="4" t="inlineStr">
        <is>
          <t>پین گاوآهنی بی سر</t>
        </is>
      </c>
      <c r="E167" s="4" t="inlineStr">
        <is>
          <t>Clevis pins without head</t>
        </is>
      </c>
      <c r="F167" s="4" t="inlineStr">
        <is>
          <t>پین</t>
        </is>
      </c>
      <c r="G167" s="2" t="n">
        <v>1</v>
      </c>
      <c r="H167" s="4" t="inlineStr">
        <is>
          <t>DIN EN 22340</t>
        </is>
      </c>
      <c r="I167" s="4" t="inlineStr">
        <is>
          <t>ISO 2340، CSN 022107، PN 83001</t>
        </is>
      </c>
      <c r="J167" s="4" t="inlineStr">
        <is>
          <t>4 – 90</t>
        </is>
      </c>
      <c r="K167" s="2" t="n">
        <v>24</v>
      </c>
      <c r="L167" s="4" t="inlineStr">
        <is>
          <t>فولاد کربنی ساده یا گالوانیزه، استیل A2، استیل A4</t>
        </is>
      </c>
      <c r="M167" s="4" t="inlineStr">
        <is>
          <t>پین استوانه‌ای بدون سر با تلرانس دقیق</t>
        </is>
      </c>
      <c r="N167" s="2" t="n">
        <v>0</v>
      </c>
      <c r="O167" s="2" t="inlineStr">
        <is>
          <t>دارد</t>
        </is>
      </c>
      <c r="P167" s="2" t="inlineStr">
        <is>
          <t>دارد</t>
        </is>
      </c>
      <c r="Q167" s="2" t="inlineStr">
        <is>
          <t>دارد</t>
        </is>
      </c>
    </row>
    <row r="168">
      <c r="A168" s="2" t="n">
        <v>167</v>
      </c>
      <c r="B168" s="2" t="inlineStr">
        <is>
          <t>DIN</t>
        </is>
      </c>
      <c r="C168" s="3" t="inlineStr">
        <is>
          <t>DIN 1444</t>
        </is>
      </c>
      <c r="D168" s="4" t="inlineStr">
        <is>
          <t>پین گاوآهنی سردار</t>
        </is>
      </c>
      <c r="E168" s="4" t="inlineStr">
        <is>
          <t>Clevis pins with head</t>
        </is>
      </c>
      <c r="F168" s="4" t="inlineStr">
        <is>
          <t>پین</t>
        </is>
      </c>
      <c r="G168" s="2" t="n">
        <v>1</v>
      </c>
      <c r="H168" s="4" t="inlineStr">
        <is>
          <t>DIN EN 22341</t>
        </is>
      </c>
      <c r="I168" s="4" t="inlineStr">
        <is>
          <t>ISO 2341، CSN 022111، PN 83002</t>
        </is>
      </c>
      <c r="J168" s="4" t="inlineStr">
        <is>
          <t>4 – 24</t>
        </is>
      </c>
      <c r="K168" s="2" t="n">
        <v>12</v>
      </c>
      <c r="L168" s="4" t="inlineStr">
        <is>
          <t>فولاد کربنی ساده یا گالوانیزه، استیل A2، استیل A4</t>
        </is>
      </c>
      <c r="M168" s="4" t="inlineStr">
        <is>
          <t>پین استوانه‌ای گلدار با سوراخ اشپیل، پین مفصلی</t>
        </is>
      </c>
      <c r="N168" s="2" t="n">
        <v>12</v>
      </c>
      <c r="O168" s="2" t="inlineStr">
        <is>
          <t>دارد</t>
        </is>
      </c>
      <c r="P168" s="2" t="inlineStr">
        <is>
          <t>دارد</t>
        </is>
      </c>
      <c r="Q168" s="2" t="inlineStr">
        <is>
          <t>دارد</t>
        </is>
      </c>
    </row>
    <row r="169">
      <c r="A169" s="2" t="n">
        <v>168</v>
      </c>
      <c r="B169" s="2" t="inlineStr">
        <is>
          <t>DIN</t>
        </is>
      </c>
      <c r="C169" s="3" t="inlineStr">
        <is>
          <t>DIN 1445</t>
        </is>
      </c>
      <c r="D169" s="4" t="inlineStr">
        <is>
          <t>پین گاوآهنی سردار رزوه‌دار</t>
        </is>
      </c>
      <c r="E169" s="4" t="inlineStr">
        <is>
          <t>Clevis pins with head and stud end</t>
        </is>
      </c>
      <c r="F169" s="4" t="inlineStr">
        <is>
          <t>پین</t>
        </is>
      </c>
      <c r="G169" s="2" t="n">
        <v>3</v>
      </c>
      <c r="H169" s="4" t="inlineStr">
        <is>
          <t>DIN 1445</t>
        </is>
      </c>
      <c r="I169" s="4" t="inlineStr">
        <is>
          <t>PN 83007</t>
        </is>
      </c>
      <c r="J169" s="4" t="inlineStr">
        <is>
          <t>8 – 30</t>
        </is>
      </c>
      <c r="K169" s="2" t="n">
        <v>11</v>
      </c>
      <c r="L169" s="4" t="inlineStr">
        <is>
          <t>فولاد کربنی ساده یا گالوانیزه، استیل A2، استیل A4</t>
        </is>
      </c>
      <c r="M169" s="4" t="inlineStr">
        <is>
          <t>پین استوانه‌ای سردار با انتهای رزوه‌دار</t>
        </is>
      </c>
      <c r="N169" s="2" t="n">
        <v>0</v>
      </c>
      <c r="O169" s="2" t="inlineStr">
        <is>
          <t>دارد</t>
        </is>
      </c>
      <c r="P169" s="2" t="inlineStr">
        <is>
          <t>دارد</t>
        </is>
      </c>
      <c r="Q169" s="2" t="inlineStr">
        <is>
          <t>دارد</t>
        </is>
      </c>
    </row>
    <row r="170">
      <c r="A170" s="2" t="n">
        <v>169</v>
      </c>
      <c r="B170" s="2" t="inlineStr">
        <is>
          <t>DIN</t>
        </is>
      </c>
      <c r="C170" s="3" t="inlineStr">
        <is>
          <t>DIN 1471</t>
        </is>
      </c>
      <c r="D170" s="4" t="inlineStr">
        <is>
          <t>پین شیاردار مخروطی تمام طول</t>
        </is>
      </c>
      <c r="E170" s="4" t="inlineStr">
        <is>
          <t>Grooved Pins, Full Length Taper-grooved</t>
        </is>
      </c>
      <c r="F170" s="4" t="inlineStr">
        <is>
          <t>پین</t>
        </is>
      </c>
      <c r="G170" s="2" t="n">
        <v>2</v>
      </c>
      <c r="H170" s="4" t="inlineStr">
        <is>
          <t>DIN EN 28744</t>
        </is>
      </c>
      <c r="I170" s="4" t="inlineStr">
        <is>
          <t>ISO 8744، CSN 022170، PN 85025، EU 28744</t>
        </is>
      </c>
      <c r="J170" s="4" t="inlineStr">
        <is>
          <t>1.5 – 25</t>
        </is>
      </c>
      <c r="K170" s="2" t="n">
        <v>13</v>
      </c>
      <c r="L170" s="4" t="inlineStr">
        <is>
          <t>فولاد کربنی، استیل AISI303، استیل A1</t>
        </is>
      </c>
      <c r="M170" s="4" t="inlineStr">
        <is>
          <t>پین استوانه‌ای با سه شیار طولی مخروطی , بدون رزوه</t>
        </is>
      </c>
      <c r="N170" s="2" t="n">
        <v>257</v>
      </c>
      <c r="O170" s="2" t="inlineStr">
        <is>
          <t>دارد</t>
        </is>
      </c>
      <c r="P170" s="2" t="inlineStr">
        <is>
          <t>دارد</t>
        </is>
      </c>
      <c r="Q170" s="2" t="inlineStr">
        <is>
          <t>دارد</t>
        </is>
      </c>
    </row>
    <row r="171">
      <c r="A171" s="2" t="n">
        <v>170</v>
      </c>
      <c r="B171" s="2" t="inlineStr">
        <is>
          <t>DIN</t>
        </is>
      </c>
      <c r="C171" s="3" t="inlineStr">
        <is>
          <t>DIN 1472</t>
        </is>
      </c>
      <c r="D171" s="4" t="inlineStr">
        <is>
          <t>پین شیاردار نیم طول</t>
        </is>
      </c>
      <c r="E171" s="4" t="inlineStr">
        <is>
          <t>Grooved pins, taper grooved, half length</t>
        </is>
      </c>
      <c r="F171" s="4" t="inlineStr">
        <is>
          <t>پین</t>
        </is>
      </c>
      <c r="G171" s="2" t="n">
        <v>2</v>
      </c>
      <c r="H171" s="4" t="inlineStr">
        <is>
          <t>DIN EN 28745</t>
        </is>
      </c>
      <c r="I171" s="4" t="inlineStr">
        <is>
          <t>ISO 8745، CSN 022171، EU 28745</t>
        </is>
      </c>
      <c r="J171" s="4" t="inlineStr">
        <is>
          <t>1.5 – 25</t>
        </is>
      </c>
      <c r="K171" s="2" t="n">
        <v>13</v>
      </c>
      <c r="L171" s="4" t="inlineStr">
        <is>
          <t>فولاد کربنی، استیل AISI303، استیل A1</t>
        </is>
      </c>
      <c r="M171" s="4" t="inlineStr">
        <is>
          <t>پین استوانه‌ای با سه شیار طولی مخروطی در نصف طول, بدون رزوه</t>
        </is>
      </c>
      <c r="N171" s="2" t="n">
        <v>253</v>
      </c>
      <c r="O171" s="2" t="inlineStr">
        <is>
          <t>دارد</t>
        </is>
      </c>
      <c r="P171" s="2" t="inlineStr">
        <is>
          <t>دارد</t>
        </is>
      </c>
      <c r="Q171" s="2" t="inlineStr">
        <is>
          <t>دارد</t>
        </is>
      </c>
    </row>
    <row r="172">
      <c r="A172" s="2" t="n">
        <v>171</v>
      </c>
      <c r="B172" s="2" t="inlineStr">
        <is>
          <t>DIN</t>
        </is>
      </c>
      <c r="C172" s="3" t="inlineStr">
        <is>
          <t>DIN 1473</t>
        </is>
      </c>
      <c r="D172" s="4" t="inlineStr">
        <is>
          <t>پین شیاردار استوانه‌ای</t>
        </is>
      </c>
      <c r="E172" s="4" t="inlineStr">
        <is>
          <t>Grooved pins, parallel grooved, full length</t>
        </is>
      </c>
      <c r="F172" s="4" t="inlineStr">
        <is>
          <t>پین</t>
        </is>
      </c>
      <c r="G172" s="2" t="n">
        <v>2</v>
      </c>
      <c r="H172" s="4" t="inlineStr">
        <is>
          <t>DIN EN 28740</t>
        </is>
      </c>
      <c r="I172" s="4" t="inlineStr">
        <is>
          <t>ISO 8740، CSN 022173، EU 28740</t>
        </is>
      </c>
      <c r="J172" s="4" t="inlineStr">
        <is>
          <t>1.5 – 25</t>
        </is>
      </c>
      <c r="K172" s="2" t="n">
        <v>13</v>
      </c>
      <c r="L172" s="4" t="inlineStr">
        <is>
          <t>فولاد کربنی، استیل AISI303، استیل A1</t>
        </is>
      </c>
      <c r="M172" s="4" t="inlineStr">
        <is>
          <t>پین استوانه‌ای با سه شیار طولی مخروطی , بدون رزوه سرپین پخ‌دار</t>
        </is>
      </c>
      <c r="N172" s="2" t="n">
        <v>233</v>
      </c>
      <c r="O172" s="2" t="inlineStr">
        <is>
          <t>دارد</t>
        </is>
      </c>
      <c r="P172" s="2" t="inlineStr">
        <is>
          <t>دارد</t>
        </is>
      </c>
      <c r="Q172" s="2" t="inlineStr">
        <is>
          <t>دارد</t>
        </is>
      </c>
    </row>
    <row r="173">
      <c r="A173" s="2" t="n">
        <v>172</v>
      </c>
      <c r="B173" s="2" t="inlineStr">
        <is>
          <t>DIN</t>
        </is>
      </c>
      <c r="C173" s="3" t="inlineStr">
        <is>
          <t>DIN 1474</t>
        </is>
      </c>
      <c r="D173" s="4" t="inlineStr">
        <is>
          <t>پین شیاردار نیم طول معکوس</t>
        </is>
      </c>
      <c r="E173" s="4" t="inlineStr">
        <is>
          <t>Grooved pins, reverse taper grooved, half length</t>
        </is>
      </c>
      <c r="F173" s="4" t="inlineStr">
        <is>
          <t>پین</t>
        </is>
      </c>
      <c r="G173" s="2" t="n">
        <v>3</v>
      </c>
      <c r="H173" s="4" t="inlineStr">
        <is>
          <t>DIN EN 18741</t>
        </is>
      </c>
      <c r="I173" s="4" t="inlineStr">
        <is>
          <t>ISO 8741، CSN 022174، PN 85026</t>
        </is>
      </c>
      <c r="J173" s="4" t="inlineStr">
        <is>
          <t>1.5 – 25</t>
        </is>
      </c>
      <c r="K173" s="2" t="n">
        <v>13</v>
      </c>
      <c r="L173" s="4" t="inlineStr">
        <is>
          <t>فولاد کربنی، استیل AISI303، استیل A1</t>
        </is>
      </c>
      <c r="M173" s="4" t="inlineStr">
        <is>
          <t>پین استوانه‌ای با سه شیار طولی در یک سوم میانی طول پین , بدون رزوه</t>
        </is>
      </c>
      <c r="N173" s="2" t="n">
        <v>244</v>
      </c>
      <c r="O173" s="2" t="inlineStr">
        <is>
          <t>دارد</t>
        </is>
      </c>
      <c r="P173" s="2" t="inlineStr">
        <is>
          <t>دارد</t>
        </is>
      </c>
      <c r="Q173" s="2" t="inlineStr">
        <is>
          <t>دارد</t>
        </is>
      </c>
    </row>
    <row r="174">
      <c r="A174" s="2" t="n">
        <v>173</v>
      </c>
      <c r="B174" s="2" t="inlineStr">
        <is>
          <t>DIN</t>
        </is>
      </c>
      <c r="C174" s="3" t="inlineStr">
        <is>
          <t>DIN 1475</t>
        </is>
      </c>
      <c r="D174" s="4" t="inlineStr">
        <is>
          <t>پین شیاردار وسط شیار</t>
        </is>
      </c>
      <c r="E174" s="4" t="inlineStr">
        <is>
          <t>Grooved Pins, Third Length Centre-grooved</t>
        </is>
      </c>
      <c r="F174" s="4" t="inlineStr">
        <is>
          <t>پین</t>
        </is>
      </c>
      <c r="G174" s="2" t="n">
        <v>3</v>
      </c>
      <c r="H174" s="4" t="inlineStr">
        <is>
          <t>DIN EN 28742</t>
        </is>
      </c>
      <c r="I174" s="4" t="inlineStr">
        <is>
          <t>ISO 8742، CSN 022175، PN 85027، EU 28743</t>
        </is>
      </c>
      <c r="J174" s="4" t="inlineStr">
        <is>
          <t>1.5 – 25</t>
        </is>
      </c>
      <c r="K174" s="2" t="n">
        <v>13</v>
      </c>
      <c r="L174" s="4" t="inlineStr">
        <is>
          <t>فولاد کربنی، استیل AISI303، استیل A1</t>
        </is>
      </c>
      <c r="M174" s="4" t="inlineStr"/>
      <c r="N174" s="2" t="n">
        <v>187</v>
      </c>
      <c r="O174" s="2" t="inlineStr">
        <is>
          <t>دارد</t>
        </is>
      </c>
      <c r="P174" s="2" t="inlineStr">
        <is>
          <t>دارد</t>
        </is>
      </c>
      <c r="Q174" s="2" t="inlineStr">
        <is>
          <t>دارد</t>
        </is>
      </c>
    </row>
    <row r="175">
      <c r="A175" s="2" t="n">
        <v>174</v>
      </c>
      <c r="B175" s="2" t="inlineStr">
        <is>
          <t>DIN</t>
        </is>
      </c>
      <c r="C175" s="3" t="inlineStr">
        <is>
          <t>DIN 1476</t>
        </is>
      </c>
      <c r="D175" s="4" t="inlineStr">
        <is>
          <t>پین شیاردار سرگرد</t>
        </is>
      </c>
      <c r="E175" s="4" t="inlineStr">
        <is>
          <t>Round Head Grooved Pins</t>
        </is>
      </c>
      <c r="F175" s="4" t="inlineStr">
        <is>
          <t>پین</t>
        </is>
      </c>
      <c r="G175" s="2" t="n">
        <v>3</v>
      </c>
      <c r="H175" s="4" t="inlineStr">
        <is>
          <t>DIN EN 28746</t>
        </is>
      </c>
      <c r="I175" s="4" t="inlineStr">
        <is>
          <t>ISO 8746، CSN 022190، PN 82981، EU 28746</t>
        </is>
      </c>
      <c r="J175" s="4" t="inlineStr">
        <is>
          <t>1.4 – 20</t>
        </is>
      </c>
      <c r="K175" s="2" t="n">
        <v>13</v>
      </c>
      <c r="L175" s="4" t="inlineStr">
        <is>
          <t>فولاد کربنی، استیل A1، استیل A2، استیل A4</t>
        </is>
      </c>
      <c r="M175" s="4" t="inlineStr"/>
      <c r="N175" s="2" t="n">
        <v>80</v>
      </c>
      <c r="O175" s="2" t="inlineStr">
        <is>
          <t>دارد</t>
        </is>
      </c>
      <c r="P175" s="2" t="inlineStr">
        <is>
          <t>دارد</t>
        </is>
      </c>
      <c r="Q175" s="2" t="inlineStr">
        <is>
          <t>دارد</t>
        </is>
      </c>
    </row>
    <row r="176">
      <c r="A176" s="2" t="n">
        <v>175</v>
      </c>
      <c r="B176" s="2" t="inlineStr">
        <is>
          <t>DIN</t>
        </is>
      </c>
      <c r="C176" s="3" t="inlineStr">
        <is>
          <t>DIN 1477</t>
        </is>
      </c>
      <c r="D176" s="4" t="inlineStr">
        <is>
          <t>پین شیاردار سرخزینه</t>
        </is>
      </c>
      <c r="E176" s="4" t="inlineStr">
        <is>
          <t>Countersunk Head Grooved Pins</t>
        </is>
      </c>
      <c r="F176" s="4" t="inlineStr">
        <is>
          <t>پین</t>
        </is>
      </c>
      <c r="G176" s="2" t="n">
        <v>3</v>
      </c>
      <c r="H176" s="4" t="inlineStr">
        <is>
          <t>DIN EN 18747</t>
        </is>
      </c>
      <c r="I176" s="4" t="inlineStr">
        <is>
          <t>ISO 8747، CSN 022191، PN 82982</t>
        </is>
      </c>
      <c r="J176" s="4" t="inlineStr">
        <is>
          <t>1.4 – 20</t>
        </is>
      </c>
      <c r="K176" s="2" t="n">
        <v>13</v>
      </c>
      <c r="L176" s="4" t="inlineStr">
        <is>
          <t>فولاد کربنی، استیل AISI303، استیل A1</t>
        </is>
      </c>
      <c r="M176" s="4" t="inlineStr">
        <is>
          <t>پین استوانه‌ای با سر تخت مخروطی و سه شیار طولی بدون رزوه</t>
        </is>
      </c>
      <c r="N176" s="2" t="n">
        <v>75</v>
      </c>
      <c r="O176" s="2" t="inlineStr">
        <is>
          <t>دارد</t>
        </is>
      </c>
      <c r="P176" s="2" t="inlineStr">
        <is>
          <t>دارد</t>
        </is>
      </c>
      <c r="Q176" s="2" t="inlineStr">
        <is>
          <t>دارد</t>
        </is>
      </c>
    </row>
    <row r="177">
      <c r="A177" s="2" t="n">
        <v>176</v>
      </c>
      <c r="B177" s="2" t="inlineStr">
        <is>
          <t>DIN</t>
        </is>
      </c>
      <c r="C177" s="3" t="inlineStr">
        <is>
          <t>DIN 1478</t>
        </is>
      </c>
      <c r="D177" s="4" t="inlineStr">
        <is>
          <t>مهارکش لوله‌ای (تندر)</t>
        </is>
      </c>
      <c r="E177" s="4" t="inlineStr">
        <is>
          <t>Turnbuckles, tubular body</t>
        </is>
      </c>
      <c r="F177" s="4" t="inlineStr">
        <is>
          <t>اتصالات بالابری و مهارکش</t>
        </is>
      </c>
      <c r="G177" s="2" t="n">
        <v>3</v>
      </c>
      <c r="H177" s="4" t="inlineStr">
        <is>
          <t>DIN 1478</t>
        </is>
      </c>
      <c r="I177" s="4" t="inlineStr">
        <is>
          <t>PN 82268</t>
        </is>
      </c>
      <c r="J177" s="4" t="inlineStr">
        <is>
          <t>M6 – M80X6</t>
        </is>
      </c>
      <c r="K177" s="2" t="n">
        <v>17</v>
      </c>
      <c r="L177" s="4" t="inlineStr">
        <is>
          <t>S235JR، L355، L235، استیل A4</t>
        </is>
      </c>
      <c r="M177" s="4" t="inlineStr"/>
      <c r="N177" s="2" t="n">
        <v>0</v>
      </c>
      <c r="O177" s="2" t="inlineStr">
        <is>
          <t>دارد</t>
        </is>
      </c>
      <c r="P177" s="2" t="inlineStr">
        <is>
          <t>دارد</t>
        </is>
      </c>
      <c r="Q177" s="2" t="inlineStr">
        <is>
          <t>دارد</t>
        </is>
      </c>
    </row>
    <row r="178">
      <c r="A178" s="2" t="n">
        <v>177</v>
      </c>
      <c r="B178" s="2" t="inlineStr">
        <is>
          <t>DIN</t>
        </is>
      </c>
      <c r="C178" s="3" t="inlineStr">
        <is>
          <t>DIN 1478 EE</t>
        </is>
      </c>
      <c r="D178" s="4" t="inlineStr">
        <is>
          <t>مهارکش لوله‌ای دوچشم</t>
        </is>
      </c>
      <c r="E178" s="4" t="inlineStr">
        <is>
          <t>Tubular turnbuckles, eye and eye</t>
        </is>
      </c>
      <c r="F178" s="4" t="inlineStr">
        <is>
          <t>اتصالات بالابری و مهارکش</t>
        </is>
      </c>
      <c r="G178" s="2" t="n">
        <v>3</v>
      </c>
      <c r="H178" s="4" t="inlineStr">
        <is>
          <t>DIN 1478</t>
        </is>
      </c>
      <c r="I178" s="4" t="inlineStr">
        <is>
          <t>CSN 021940</t>
        </is>
      </c>
      <c r="J178" s="4" t="inlineStr">
        <is>
          <t>M6 – M48</t>
        </is>
      </c>
      <c r="K178" s="2" t="n">
        <v>11</v>
      </c>
      <c r="L178" s="4" t="inlineStr">
        <is>
          <t>S235JR، L355، L235، استیل A4</t>
        </is>
      </c>
      <c r="M178" s="4" t="inlineStr">
        <is>
          <t>مهار کش لوله‌ای دوسر حلقه</t>
        </is>
      </c>
      <c r="N178" s="2" t="n">
        <v>0</v>
      </c>
      <c r="O178" s="2" t="inlineStr">
        <is>
          <t>دارد</t>
        </is>
      </c>
      <c r="P178" s="2" t="inlineStr">
        <is>
          <t>دارد</t>
        </is>
      </c>
      <c r="Q178" s="2" t="inlineStr">
        <is>
          <t>دارد</t>
        </is>
      </c>
    </row>
    <row r="179">
      <c r="A179" s="2" t="n">
        <v>178</v>
      </c>
      <c r="B179" s="2" t="inlineStr">
        <is>
          <t>DIN</t>
        </is>
      </c>
      <c r="C179" s="3" t="inlineStr">
        <is>
          <t>DIN 1478 EH</t>
        </is>
      </c>
      <c r="D179" s="4" t="inlineStr">
        <is>
          <t>مهارکش لوله‌ای قلاب و چشم</t>
        </is>
      </c>
      <c r="E179" s="4" t="inlineStr">
        <is>
          <t>Tubular turnbuckles, hook and eye</t>
        </is>
      </c>
      <c r="F179" s="4" t="inlineStr">
        <is>
          <t>اتصالات بالابری و مهارکش</t>
        </is>
      </c>
      <c r="G179" s="2" t="n">
        <v>3</v>
      </c>
      <c r="H179" s="4" t="inlineStr">
        <is>
          <t>DIN 1478</t>
        </is>
      </c>
      <c r="I179" s="4" t="inlineStr">
        <is>
          <t>CSN 021940</t>
        </is>
      </c>
      <c r="J179" s="4" t="inlineStr">
        <is>
          <t>M6 – M36</t>
        </is>
      </c>
      <c r="K179" s="2" t="n">
        <v>9</v>
      </c>
      <c r="L179" s="4" t="inlineStr">
        <is>
          <t>S235JR، L355، L235، استیل A4</t>
        </is>
      </c>
      <c r="M179" s="4" t="inlineStr">
        <is>
          <t>مهارکش لوله‌ای یک سر حلقه یک سر قلاب</t>
        </is>
      </c>
      <c r="N179" s="2" t="n">
        <v>0</v>
      </c>
      <c r="O179" s="2" t="inlineStr">
        <is>
          <t>دارد</t>
        </is>
      </c>
      <c r="P179" s="2" t="inlineStr">
        <is>
          <t>دارد</t>
        </is>
      </c>
      <c r="Q179" s="2" t="inlineStr">
        <is>
          <t>دارد</t>
        </is>
      </c>
    </row>
    <row r="180">
      <c r="A180" s="2" t="n">
        <v>179</v>
      </c>
      <c r="B180" s="2" t="inlineStr">
        <is>
          <t>DIN</t>
        </is>
      </c>
      <c r="C180" s="3" t="inlineStr">
        <is>
          <t>DIN 1478 HH</t>
        </is>
      </c>
      <c r="D180" s="4" t="inlineStr">
        <is>
          <t>مهارکش لوله‌ای دوقلاب</t>
        </is>
      </c>
      <c r="E180" s="4" t="inlineStr">
        <is>
          <t>Tubular turnbuckles, hook and hook</t>
        </is>
      </c>
      <c r="F180" s="4" t="inlineStr">
        <is>
          <t>اتصالات بالابری و مهارکش</t>
        </is>
      </c>
      <c r="G180" s="2" t="n">
        <v>3</v>
      </c>
      <c r="H180" s="4" t="inlineStr">
        <is>
          <t>DIN 1478</t>
        </is>
      </c>
      <c r="I180" s="4" t="inlineStr">
        <is>
          <t>CSN 021940</t>
        </is>
      </c>
      <c r="J180" s="4" t="inlineStr">
        <is>
          <t>M6 – M36</t>
        </is>
      </c>
      <c r="K180" s="2" t="n">
        <v>9</v>
      </c>
      <c r="L180" s="4" t="inlineStr">
        <is>
          <t>S235JR، L355، L235، استیل A4</t>
        </is>
      </c>
      <c r="M180" s="4" t="inlineStr">
        <is>
          <t>مهارکش لوله‌ای دوسر قلاب</t>
        </is>
      </c>
      <c r="N180" s="2" t="n">
        <v>0</v>
      </c>
      <c r="O180" s="2" t="inlineStr">
        <is>
          <t>دارد</t>
        </is>
      </c>
      <c r="P180" s="2" t="inlineStr">
        <is>
          <t>دارد</t>
        </is>
      </c>
      <c r="Q180" s="2" t="inlineStr">
        <is>
          <t>دارد</t>
        </is>
      </c>
    </row>
    <row r="181">
      <c r="A181" s="2" t="n">
        <v>180</v>
      </c>
      <c r="B181" s="2" t="inlineStr">
        <is>
          <t>DIN</t>
        </is>
      </c>
      <c r="C181" s="3" t="inlineStr">
        <is>
          <t>DIN 1478 JJ</t>
        </is>
      </c>
      <c r="D181" s="4" t="inlineStr">
        <is>
          <t>مهارکش لوله‌ای دوفک</t>
        </is>
      </c>
      <c r="E181" s="4" t="inlineStr">
        <is>
          <t>Tubular turnbuckles, jaw and jaw</t>
        </is>
      </c>
      <c r="F181" s="4" t="inlineStr">
        <is>
          <t>اتصالات بالابری و مهارکش</t>
        </is>
      </c>
      <c r="G181" s="2" t="n">
        <v>3</v>
      </c>
      <c r="H181" s="4" t="inlineStr">
        <is>
          <t>DIN 1478</t>
        </is>
      </c>
      <c r="I181" s="4" t="inlineStr">
        <is>
          <t>CSN 021940</t>
        </is>
      </c>
      <c r="J181" s="4" t="inlineStr">
        <is>
          <t>M8 – M30</t>
        </is>
      </c>
      <c r="K181" s="2" t="n">
        <v>7</v>
      </c>
      <c r="L181" s="4" t="inlineStr">
        <is>
          <t>S235JR، L355، L235، استیل A4</t>
        </is>
      </c>
      <c r="M181" s="4" t="inlineStr">
        <is>
          <t>مهارکش لوله‌ای دوسر شگل</t>
        </is>
      </c>
      <c r="N181" s="2" t="n">
        <v>0</v>
      </c>
      <c r="O181" s="2" t="inlineStr">
        <is>
          <t>دارد</t>
        </is>
      </c>
      <c r="P181" s="2" t="inlineStr">
        <is>
          <t>دارد</t>
        </is>
      </c>
      <c r="Q181" s="2" t="inlineStr">
        <is>
          <t>دارد</t>
        </is>
      </c>
    </row>
    <row r="182">
      <c r="A182" s="2" t="n">
        <v>181</v>
      </c>
      <c r="B182" s="2" t="inlineStr">
        <is>
          <t>DIN</t>
        </is>
      </c>
      <c r="C182" s="3" t="inlineStr">
        <is>
          <t>DIN 1478 SE</t>
        </is>
      </c>
      <c r="D182" s="4" t="inlineStr">
        <is>
          <t>مهارکش لوله‌ای دوسر جوشی</t>
        </is>
      </c>
      <c r="E182" s="4" t="inlineStr">
        <is>
          <t>Tubular turnbuckles, stub ends for welding</t>
        </is>
      </c>
      <c r="F182" s="4" t="inlineStr">
        <is>
          <t>اتصالات بالابری و مهارکش</t>
        </is>
      </c>
      <c r="G182" s="2" t="n">
        <v>3</v>
      </c>
      <c r="H182" s="4" t="inlineStr">
        <is>
          <t>DIN 1478</t>
        </is>
      </c>
      <c r="I182" s="4" t="inlineStr">
        <is>
          <t>CSN 021940</t>
        </is>
      </c>
      <c r="J182" s="4" t="inlineStr">
        <is>
          <t>M6 – M80</t>
        </is>
      </c>
      <c r="K182" s="2" t="n">
        <v>16</v>
      </c>
      <c r="L182" s="4" t="inlineStr">
        <is>
          <t>S235JR، L355، L235، استیل A4</t>
        </is>
      </c>
      <c r="M182" s="4" t="inlineStr"/>
      <c r="N182" s="2" t="n">
        <v>0</v>
      </c>
      <c r="O182" s="2" t="inlineStr">
        <is>
          <t>دارد</t>
        </is>
      </c>
      <c r="P182" s="2" t="inlineStr">
        <is>
          <t>دارد</t>
        </is>
      </c>
      <c r="Q182" s="2" t="inlineStr">
        <is>
          <t>دارد</t>
        </is>
      </c>
    </row>
    <row r="183">
      <c r="A183" s="2" t="n">
        <v>182</v>
      </c>
      <c r="B183" s="2" t="inlineStr">
        <is>
          <t>DIN</t>
        </is>
      </c>
      <c r="C183" s="3" t="inlineStr">
        <is>
          <t>DIN 1479</t>
        </is>
      </c>
      <c r="D183" s="4" t="inlineStr">
        <is>
          <t>مهارکش شش‌گوش (تندر)</t>
        </is>
      </c>
      <c r="E183" s="4" t="inlineStr">
        <is>
          <t>Hexagon turnbuckles</t>
        </is>
      </c>
      <c r="F183" s="4" t="inlineStr">
        <is>
          <t>اتصالات بالابری و مهارکش</t>
        </is>
      </c>
      <c r="G183" s="2" t="n">
        <v>1</v>
      </c>
      <c r="H183" s="4" t="inlineStr">
        <is>
          <t>DIN EN ISO 1479</t>
        </is>
      </c>
      <c r="I183" s="4" t="inlineStr">
        <is>
          <t>PN 82267، UNI 1479</t>
        </is>
      </c>
      <c r="J183" s="4" t="inlineStr">
        <is>
          <t>M6 – M30</t>
        </is>
      </c>
      <c r="K183" s="2" t="n">
        <v>8</v>
      </c>
      <c r="L183" s="4" t="inlineStr">
        <is>
          <t>S235JR، L355، L235، استیل A4</t>
        </is>
      </c>
      <c r="M183" s="4" t="inlineStr"/>
      <c r="N183" s="2" t="n">
        <v>8</v>
      </c>
      <c r="O183" s="2" t="inlineStr">
        <is>
          <t>دارد</t>
        </is>
      </c>
      <c r="P183" s="2" t="inlineStr">
        <is>
          <t>دارد</t>
        </is>
      </c>
      <c r="Q183" s="2" t="inlineStr">
        <is>
          <t>دارد</t>
        </is>
      </c>
    </row>
    <row r="184">
      <c r="A184" s="2" t="n">
        <v>183</v>
      </c>
      <c r="B184" s="2" t="inlineStr">
        <is>
          <t>DIN</t>
        </is>
      </c>
      <c r="C184" s="3" t="inlineStr">
        <is>
          <t>DIN 1480</t>
        </is>
      </c>
      <c r="D184" s="4" t="inlineStr">
        <is>
          <t>مهارکش باز آهنگری</t>
        </is>
      </c>
      <c r="E184" s="4" t="inlineStr">
        <is>
          <t>Turnbuckles, forged, open body</t>
        </is>
      </c>
      <c r="F184" s="4" t="inlineStr">
        <is>
          <t>اتصالات بالابری و مهارکش</t>
        </is>
      </c>
      <c r="G184" s="2" t="n">
        <v>1</v>
      </c>
      <c r="H184" s="4" t="inlineStr">
        <is>
          <t>DIN 1480</t>
        </is>
      </c>
      <c r="I184" s="4" t="inlineStr">
        <is>
          <t>CSN 021940</t>
        </is>
      </c>
      <c r="J184" s="4" t="inlineStr">
        <is>
          <t>M6 – M56</t>
        </is>
      </c>
      <c r="K184" s="2" t="n">
        <v>12</v>
      </c>
      <c r="L184" s="4" t="inlineStr">
        <is>
          <t>S235JR، L355، L235، استیل A4</t>
        </is>
      </c>
      <c r="M184" s="4" t="inlineStr">
        <is>
          <t>مهارکش</t>
        </is>
      </c>
      <c r="N184" s="2" t="n">
        <v>12</v>
      </c>
      <c r="O184" s="2" t="inlineStr">
        <is>
          <t>دارد</t>
        </is>
      </c>
      <c r="P184" s="2" t="inlineStr">
        <is>
          <t>دارد</t>
        </is>
      </c>
      <c r="Q184" s="2" t="inlineStr">
        <is>
          <t>دارد</t>
        </is>
      </c>
    </row>
    <row r="185">
      <c r="A185" s="2" t="n">
        <v>184</v>
      </c>
      <c r="B185" s="2" t="inlineStr">
        <is>
          <t>DIN</t>
        </is>
      </c>
      <c r="C185" s="3" t="inlineStr">
        <is>
          <t>DIN 1480 EE</t>
        </is>
      </c>
      <c r="D185" s="4" t="inlineStr">
        <is>
          <t>مهارکش باز دوچشم</t>
        </is>
      </c>
      <c r="E185" s="4" t="inlineStr">
        <is>
          <t>Turnbuckles, eye and eye</t>
        </is>
      </c>
      <c r="F185" s="4" t="inlineStr">
        <is>
          <t>اتصالات بالابری و مهارکش</t>
        </is>
      </c>
      <c r="G185" s="2" t="n">
        <v>1</v>
      </c>
      <c r="H185" s="4" t="inlineStr">
        <is>
          <t>DIN 1480</t>
        </is>
      </c>
      <c r="I185" s="4" t="inlineStr">
        <is>
          <t>CSN 021940</t>
        </is>
      </c>
      <c r="J185" s="4" t="inlineStr">
        <is>
          <t>M6 – M48</t>
        </is>
      </c>
      <c r="K185" s="2" t="n">
        <v>13</v>
      </c>
      <c r="L185" s="4" t="inlineStr">
        <is>
          <t>S235JR، L355، L235، استیل A4</t>
        </is>
      </c>
      <c r="M185" s="4" t="inlineStr">
        <is>
          <t>مهارکش دوسر حلقه</t>
        </is>
      </c>
      <c r="N185" s="2" t="n">
        <v>13</v>
      </c>
      <c r="O185" s="2" t="inlineStr">
        <is>
          <t>دارد</t>
        </is>
      </c>
      <c r="P185" s="2" t="inlineStr">
        <is>
          <t>دارد</t>
        </is>
      </c>
      <c r="Q185" s="2" t="inlineStr">
        <is>
          <t>دارد</t>
        </is>
      </c>
    </row>
    <row r="186">
      <c r="A186" s="2" t="n">
        <v>185</v>
      </c>
      <c r="B186" s="2" t="inlineStr">
        <is>
          <t>DIN</t>
        </is>
      </c>
      <c r="C186" s="3" t="inlineStr">
        <is>
          <t>DIN 1480 EH</t>
        </is>
      </c>
      <c r="D186" s="4" t="inlineStr">
        <is>
          <t>مهارکش باز قلاب و چشم</t>
        </is>
      </c>
      <c r="E186" s="4" t="inlineStr">
        <is>
          <t>Turnbuckles, hook and eye</t>
        </is>
      </c>
      <c r="F186" s="4" t="inlineStr">
        <is>
          <t>اتصالات بالابری و مهارکش</t>
        </is>
      </c>
      <c r="G186" s="2" t="n">
        <v>2</v>
      </c>
      <c r="H186" s="4" t="inlineStr">
        <is>
          <t>DIN 1480</t>
        </is>
      </c>
      <c r="I186" s="4" t="inlineStr">
        <is>
          <t>CSN 021940</t>
        </is>
      </c>
      <c r="J186" s="4" t="inlineStr">
        <is>
          <t>M6 – M36</t>
        </is>
      </c>
      <c r="K186" s="2" t="n">
        <v>9</v>
      </c>
      <c r="L186" s="4" t="inlineStr">
        <is>
          <t>S235JR، L355، L235، استیل A4</t>
        </is>
      </c>
      <c r="M186" s="4" t="inlineStr">
        <is>
          <t>مهارکش یک سر حلقه یک سر قلاب</t>
        </is>
      </c>
      <c r="N186" s="2" t="n">
        <v>0</v>
      </c>
      <c r="O186" s="2" t="inlineStr">
        <is>
          <t>دارد</t>
        </is>
      </c>
      <c r="P186" s="2" t="inlineStr">
        <is>
          <t>دارد</t>
        </is>
      </c>
      <c r="Q186" s="2" t="inlineStr">
        <is>
          <t>دارد</t>
        </is>
      </c>
    </row>
    <row r="187">
      <c r="A187" s="2" t="n">
        <v>186</v>
      </c>
      <c r="B187" s="2" t="inlineStr">
        <is>
          <t>DIN</t>
        </is>
      </c>
      <c r="C187" s="3" t="inlineStr">
        <is>
          <t>DIN 1480 HH</t>
        </is>
      </c>
      <c r="D187" s="4" t="inlineStr">
        <is>
          <t>مهارکش باز دوقلاب</t>
        </is>
      </c>
      <c r="E187" s="4" t="inlineStr">
        <is>
          <t>Turnbuckles, hook and hook</t>
        </is>
      </c>
      <c r="F187" s="4" t="inlineStr">
        <is>
          <t>اتصالات بالابری و مهارکش</t>
        </is>
      </c>
      <c r="G187" s="2" t="n">
        <v>2</v>
      </c>
      <c r="H187" s="4" t="inlineStr">
        <is>
          <t>DIN 1480</t>
        </is>
      </c>
      <c r="I187" s="4" t="inlineStr">
        <is>
          <t>CSN 021940</t>
        </is>
      </c>
      <c r="J187" s="4" t="inlineStr">
        <is>
          <t>M6 – M36</t>
        </is>
      </c>
      <c r="K187" s="2" t="n">
        <v>9</v>
      </c>
      <c r="L187" s="4" t="inlineStr">
        <is>
          <t>S235JR، L355، L235، استیل A4</t>
        </is>
      </c>
      <c r="M187" s="4" t="inlineStr">
        <is>
          <t>مهارکش دوسر قلاب</t>
        </is>
      </c>
      <c r="N187" s="2" t="n">
        <v>0</v>
      </c>
      <c r="O187" s="2" t="inlineStr">
        <is>
          <t>دارد</t>
        </is>
      </c>
      <c r="P187" s="2" t="inlineStr">
        <is>
          <t>دارد</t>
        </is>
      </c>
      <c r="Q187" s="2" t="inlineStr">
        <is>
          <t>دارد</t>
        </is>
      </c>
    </row>
    <row r="188">
      <c r="A188" s="2" t="n">
        <v>187</v>
      </c>
      <c r="B188" s="2" t="inlineStr">
        <is>
          <t>DIN</t>
        </is>
      </c>
      <c r="C188" s="3" t="inlineStr">
        <is>
          <t>DIN 1480 JJ</t>
        </is>
      </c>
      <c r="D188" s="4" t="inlineStr">
        <is>
          <t>مهارکش باز دوفک</t>
        </is>
      </c>
      <c r="E188" s="4" t="inlineStr">
        <is>
          <t>Turnbuckles, jaw and jaw</t>
        </is>
      </c>
      <c r="F188" s="4" t="inlineStr">
        <is>
          <t>اتصالات بالابری و مهارکش</t>
        </is>
      </c>
      <c r="G188" s="2" t="n">
        <v>2</v>
      </c>
      <c r="H188" s="4" t="inlineStr">
        <is>
          <t>DIN 1480</t>
        </is>
      </c>
      <c r="I188" s="4" t="inlineStr">
        <is>
          <t>CSN 021940</t>
        </is>
      </c>
      <c r="J188" s="4" t="inlineStr">
        <is>
          <t>M8 – M30</t>
        </is>
      </c>
      <c r="K188" s="2" t="n">
        <v>7</v>
      </c>
      <c r="L188" s="4" t="inlineStr">
        <is>
          <t>S235JR، L355، L235، استیل A4</t>
        </is>
      </c>
      <c r="M188" s="4" t="inlineStr">
        <is>
          <t>مهارکش دوسر شگل</t>
        </is>
      </c>
      <c r="N188" s="2" t="n">
        <v>0</v>
      </c>
      <c r="O188" s="2" t="inlineStr">
        <is>
          <t>دارد</t>
        </is>
      </c>
      <c r="P188" s="2" t="inlineStr">
        <is>
          <t>دارد</t>
        </is>
      </c>
      <c r="Q188" s="2" t="inlineStr">
        <is>
          <t>دارد</t>
        </is>
      </c>
    </row>
    <row r="189">
      <c r="A189" s="2" t="n">
        <v>188</v>
      </c>
      <c r="B189" s="2" t="inlineStr">
        <is>
          <t>DIN</t>
        </is>
      </c>
      <c r="C189" s="3" t="inlineStr">
        <is>
          <t>DIN 1480 PP</t>
        </is>
      </c>
      <c r="D189" s="4" t="inlineStr">
        <is>
          <t>مهارکش باز دوسر ساده</t>
        </is>
      </c>
      <c r="E189" s="4" t="inlineStr">
        <is>
          <t>Turnbuckles, plain ends</t>
        </is>
      </c>
      <c r="F189" s="4" t="inlineStr">
        <is>
          <t>اتصالات بالابری و مهارکش</t>
        </is>
      </c>
      <c r="G189" s="2" t="n">
        <v>2</v>
      </c>
      <c r="H189" s="4" t="inlineStr">
        <is>
          <t>DIN 1480</t>
        </is>
      </c>
      <c r="I189" s="4" t="inlineStr">
        <is>
          <t>CSN 021940</t>
        </is>
      </c>
      <c r="J189" s="4" t="inlineStr">
        <is>
          <t>M8 – M30</t>
        </is>
      </c>
      <c r="K189" s="2" t="n">
        <v>7</v>
      </c>
      <c r="L189" s="4" t="inlineStr">
        <is>
          <t>S235JR، L355، L235، استیل A4</t>
        </is>
      </c>
      <c r="M189" s="4" t="inlineStr"/>
      <c r="N189" s="2" t="n">
        <v>0</v>
      </c>
      <c r="O189" s="2" t="inlineStr">
        <is>
          <t>دارد</t>
        </is>
      </c>
      <c r="P189" s="2" t="inlineStr">
        <is>
          <t>دارد</t>
        </is>
      </c>
      <c r="Q189" s="2" t="inlineStr">
        <is>
          <t>دارد</t>
        </is>
      </c>
    </row>
    <row r="190">
      <c r="A190" s="2" t="n">
        <v>189</v>
      </c>
      <c r="B190" s="2" t="inlineStr">
        <is>
          <t>DIN</t>
        </is>
      </c>
      <c r="C190" s="3" t="inlineStr">
        <is>
          <t>DIN 1480 SE</t>
        </is>
      </c>
      <c r="D190" s="4" t="inlineStr">
        <is>
          <t>مهارکش باز دوسر جوشی</t>
        </is>
      </c>
      <c r="E190" s="4" t="inlineStr">
        <is>
          <t>Turnbuckles, stub ends for welding</t>
        </is>
      </c>
      <c r="F190" s="4" t="inlineStr">
        <is>
          <t>اتصالات بالابری و مهارکش</t>
        </is>
      </c>
      <c r="G190" s="2" t="n">
        <v>2</v>
      </c>
      <c r="H190" s="4" t="inlineStr">
        <is>
          <t>DIN 1480</t>
        </is>
      </c>
      <c r="I190" s="4" t="inlineStr">
        <is>
          <t>CSN 021940</t>
        </is>
      </c>
      <c r="J190" s="4" t="inlineStr">
        <is>
          <t>M6 – M56</t>
        </is>
      </c>
      <c r="K190" s="2" t="n">
        <v>12</v>
      </c>
      <c r="L190" s="4" t="inlineStr">
        <is>
          <t>S235JR، L355، L235، استیل A4</t>
        </is>
      </c>
      <c r="M190" s="4" t="inlineStr"/>
      <c r="N190" s="2" t="n">
        <v>0</v>
      </c>
      <c r="O190" s="2" t="inlineStr">
        <is>
          <t>دارد</t>
        </is>
      </c>
      <c r="P190" s="2" t="inlineStr">
        <is>
          <t>دارد</t>
        </is>
      </c>
      <c r="Q190" s="2" t="inlineStr">
        <is>
          <t>دارد</t>
        </is>
      </c>
    </row>
    <row r="191">
      <c r="A191" s="2" t="n">
        <v>190</v>
      </c>
      <c r="B191" s="2" t="inlineStr">
        <is>
          <t>DIN</t>
        </is>
      </c>
      <c r="C191" s="3" t="inlineStr">
        <is>
          <t>DIN 1481</t>
        </is>
      </c>
      <c r="D191" s="4" t="inlineStr">
        <is>
          <t>پین فنری (رول پین) سنگین</t>
        </is>
      </c>
      <c r="E191" s="4" t="inlineStr">
        <is>
          <t>Spring pins (roll pins), heavy duty</t>
        </is>
      </c>
      <c r="F191" s="4" t="inlineStr">
        <is>
          <t>پین</t>
        </is>
      </c>
      <c r="G191" s="2" t="n">
        <v>1</v>
      </c>
      <c r="H191" s="4" t="inlineStr">
        <is>
          <t>DIN EN 28752</t>
        </is>
      </c>
      <c r="I191" s="4" t="inlineStr">
        <is>
          <t>ISO 8752، CSN 022156، PN 85023، UNI 6873، EU 28752</t>
        </is>
      </c>
      <c r="J191" s="4" t="inlineStr">
        <is>
          <t>1 – 13</t>
        </is>
      </c>
      <c r="K191" s="2" t="n">
        <v>14</v>
      </c>
      <c r="L191" s="4" t="inlineStr">
        <is>
          <t>فولاد فنری سخت‌کاری‌شده، استیل فنری 1.4310، استیل A2، استیل A4</t>
        </is>
      </c>
      <c r="M191" s="4" t="inlineStr">
        <is>
          <t>پین چاکدار</t>
        </is>
      </c>
      <c r="N191" s="2" t="n">
        <v>292</v>
      </c>
      <c r="O191" s="2" t="inlineStr">
        <is>
          <t>دارد</t>
        </is>
      </c>
      <c r="P191" s="2" t="inlineStr">
        <is>
          <t>دارد</t>
        </is>
      </c>
      <c r="Q191" s="2" t="inlineStr">
        <is>
          <t>دارد</t>
        </is>
      </c>
    </row>
    <row r="192">
      <c r="A192" s="2" t="n">
        <v>191</v>
      </c>
      <c r="B192" s="2" t="inlineStr">
        <is>
          <t>DIN</t>
        </is>
      </c>
      <c r="C192" s="3" t="inlineStr">
        <is>
          <t>DIN 1587</t>
        </is>
      </c>
      <c r="D192" s="4" t="inlineStr">
        <is>
          <t>مهره کلاهک‌دار (مهره کور)</t>
        </is>
      </c>
      <c r="E192" s="4" t="inlineStr">
        <is>
          <t>Hexagon domed cap nuts</t>
        </is>
      </c>
      <c r="F192" s="4" t="inlineStr">
        <is>
          <t>مهره</t>
        </is>
      </c>
      <c r="G192" s="2" t="n">
        <v>1</v>
      </c>
      <c r="H192" s="4" t="inlineStr">
        <is>
          <t>DIN 1587</t>
        </is>
      </c>
      <c r="I192" s="4" t="inlineStr">
        <is>
          <t>PN 82181، UNI 5721</t>
        </is>
      </c>
      <c r="J192" s="4" t="inlineStr">
        <is>
          <t>M4 – M24X2</t>
        </is>
      </c>
      <c r="K192" s="2" t="n">
        <v>26</v>
      </c>
      <c r="L192" s="4" t="inlineStr">
        <is>
          <t>کلاس 6، کلاس 8، استیل A2-70، استیل A4-70</t>
        </is>
      </c>
      <c r="M192" s="4" t="inlineStr">
        <is>
          <t>مهره سربسته شش‌گوش بلند، مهره کلاهی، مهره گنبدی</t>
        </is>
      </c>
      <c r="N192" s="2" t="n">
        <v>26</v>
      </c>
      <c r="O192" s="2" t="inlineStr">
        <is>
          <t>دارد</t>
        </is>
      </c>
      <c r="P192" s="2" t="inlineStr">
        <is>
          <t>دارد</t>
        </is>
      </c>
      <c r="Q192" s="2" t="inlineStr">
        <is>
          <t>دارد</t>
        </is>
      </c>
    </row>
    <row r="193">
      <c r="A193" s="2" t="n">
        <v>192</v>
      </c>
      <c r="B193" s="2" t="inlineStr">
        <is>
          <t>DIN</t>
        </is>
      </c>
      <c r="C193" s="3" t="inlineStr">
        <is>
          <t>DIN 1804</t>
        </is>
      </c>
      <c r="D193" s="4" t="inlineStr">
        <is>
          <t>مهره گرد شیاردار آچارقلابی</t>
        </is>
      </c>
      <c r="E193" s="4" t="inlineStr">
        <is>
          <t>Slotted round nuts for hook spanners</t>
        </is>
      </c>
      <c r="F193" s="4" t="inlineStr">
        <is>
          <t>مهره</t>
        </is>
      </c>
      <c r="G193" s="2" t="n">
        <v>1</v>
      </c>
      <c r="H193" s="4" t="inlineStr">
        <is>
          <t>DIN 1804</t>
        </is>
      </c>
      <c r="I193" s="4" t="inlineStr">
        <is>
          <t>CSN 021449، PN 82471</t>
        </is>
      </c>
      <c r="J193" s="4" t="inlineStr">
        <is>
          <t>M6X0.75 – M200X3</t>
        </is>
      </c>
      <c r="K193" s="2" t="n">
        <v>49</v>
      </c>
      <c r="L193" s="4" t="inlineStr">
        <is>
          <t>فولاد کربنی، استیل A2-70، استیل A4-70</t>
        </is>
      </c>
      <c r="M193" s="4" t="inlineStr">
        <is>
          <t>مهره چاکنت، مهره چاکدار گرد مخصوص شفت و محور</t>
        </is>
      </c>
      <c r="N193" s="2" t="n">
        <v>49</v>
      </c>
      <c r="O193" s="2" t="inlineStr">
        <is>
          <t>دارد</t>
        </is>
      </c>
      <c r="P193" s="2" t="inlineStr">
        <is>
          <t>دارد</t>
        </is>
      </c>
      <c r="Q193" s="2" t="inlineStr">
        <is>
          <t>دارد</t>
        </is>
      </c>
    </row>
    <row r="194">
      <c r="A194" s="2" t="n">
        <v>193</v>
      </c>
      <c r="B194" s="2" t="inlineStr">
        <is>
          <t>DIN</t>
        </is>
      </c>
      <c r="C194" s="3" t="inlineStr">
        <is>
          <t>DIN 1816</t>
        </is>
      </c>
      <c r="D194" s="4" t="inlineStr">
        <is>
          <t>مهره گرد با سوراخ پین</t>
        </is>
      </c>
      <c r="E194" s="4" t="inlineStr">
        <is>
          <t>Round Nut with Set Pin Holes Inside</t>
        </is>
      </c>
      <c r="F194" s="4" t="inlineStr">
        <is>
          <t>مهره</t>
        </is>
      </c>
      <c r="G194" s="2" t="n">
        <v>3</v>
      </c>
      <c r="H194" s="4" t="inlineStr">
        <is>
          <t>DIN 1816</t>
        </is>
      </c>
      <c r="I194" s="4" t="inlineStr">
        <is>
          <t>CSN 021441، PN 82466</t>
        </is>
      </c>
      <c r="J194" s="4" t="inlineStr">
        <is>
          <t>M6X0.75 – M200X3</t>
        </is>
      </c>
      <c r="K194" s="2" t="n">
        <v>49</v>
      </c>
      <c r="L194" s="4" t="inlineStr">
        <is>
          <t>فولاد کربنی، استیل A2-70، استیل A4-70</t>
        </is>
      </c>
      <c r="M194" s="4" t="inlineStr">
        <is>
          <t>مهره گرد سوراخ‌دار اچارپینی، مهره قفلی سوراخدار</t>
        </is>
      </c>
      <c r="N194" s="2" t="n">
        <v>49</v>
      </c>
      <c r="O194" s="2" t="inlineStr">
        <is>
          <t>دارد</t>
        </is>
      </c>
      <c r="P194" s="2" t="inlineStr">
        <is>
          <t>دارد</t>
        </is>
      </c>
      <c r="Q194" s="2" t="inlineStr">
        <is>
          <t>دارد</t>
        </is>
      </c>
    </row>
    <row r="195">
      <c r="A195" s="2" t="n">
        <v>194</v>
      </c>
      <c r="B195" s="2" t="inlineStr">
        <is>
          <t>DIN</t>
        </is>
      </c>
      <c r="C195" s="3" t="inlineStr">
        <is>
          <t>DIN 2093</t>
        </is>
      </c>
      <c r="D195" s="4" t="inlineStr">
        <is>
          <t>واشر بشقابی (فنر بشقابی)</t>
        </is>
      </c>
      <c r="E195" s="4" t="inlineStr">
        <is>
          <t>Disc springs</t>
        </is>
      </c>
      <c r="F195" s="4" t="inlineStr">
        <is>
          <t>واشر</t>
        </is>
      </c>
      <c r="G195" s="2" t="n">
        <v>1</v>
      </c>
      <c r="H195" s="4" t="inlineStr">
        <is>
          <t>DIN 2093</t>
        </is>
      </c>
      <c r="I195" s="4" t="inlineStr">
        <is>
          <t>UNI 8737</t>
        </is>
      </c>
      <c r="J195" s="4" t="inlineStr">
        <is>
          <t>8 – 250</t>
        </is>
      </c>
      <c r="K195" s="2" t="n">
        <v>29</v>
      </c>
      <c r="L195" s="4" t="inlineStr">
        <is>
          <t>فولاد فنری 50CrV4، C67S، استیل فنری 1.4568، 1.4310</t>
        </is>
      </c>
      <c r="M195" s="4" t="inlineStr">
        <is>
          <t>واشر فنری بشقابی</t>
        </is>
      </c>
      <c r="N195" s="2" t="n">
        <v>29</v>
      </c>
      <c r="O195" s="2" t="inlineStr">
        <is>
          <t>دارد</t>
        </is>
      </c>
      <c r="P195" s="2" t="inlineStr">
        <is>
          <t>دارد</t>
        </is>
      </c>
      <c r="Q195" s="2" t="inlineStr">
        <is>
          <t>دارد</t>
        </is>
      </c>
    </row>
    <row r="196">
      <c r="A196" s="2" t="n">
        <v>195</v>
      </c>
      <c r="B196" s="2" t="inlineStr">
        <is>
          <t>DIN</t>
        </is>
      </c>
      <c r="C196" s="3" t="inlineStr">
        <is>
          <t>DIN 2510</t>
        </is>
      </c>
      <c r="D196" s="4" t="inlineStr">
        <is>
          <t>استاد ساق باریک با دو مهره</t>
        </is>
      </c>
      <c r="E196" s="4" t="inlineStr">
        <is>
          <t>Double-end studs with reduced shank and two nuts</t>
        </is>
      </c>
      <c r="F196" s="4" t="inlineStr">
        <is>
          <t>استاد بولت و میل‌رزوه</t>
        </is>
      </c>
      <c r="G196" s="2" t="n">
        <v>3</v>
      </c>
      <c r="H196" s="4" t="inlineStr">
        <is>
          <t>DIN 2510</t>
        </is>
      </c>
      <c r="I196" s="4" t="inlineStr"/>
      <c r="J196" s="4" t="inlineStr">
        <is>
          <t>M10 – M24</t>
        </is>
      </c>
      <c r="K196" s="2" t="n">
        <v>5</v>
      </c>
      <c r="L196" s="4" t="inlineStr">
        <is>
          <t>فولاد 8.8، فولاد 10.9، فولاد آلیاژی مقاوم به حرارت، استیل A2، استیل A4</t>
        </is>
      </c>
      <c r="M196" s="4" t="inlineStr">
        <is>
          <t>استاد بولت صنعتی مخصوص اتصالات تحت فشار و دمای بالا</t>
        </is>
      </c>
      <c r="N196" s="2" t="n">
        <v>5</v>
      </c>
      <c r="O196" s="2" t="inlineStr">
        <is>
          <t>دارد</t>
        </is>
      </c>
      <c r="P196" s="2" t="inlineStr">
        <is>
          <t>دارد</t>
        </is>
      </c>
      <c r="Q196" s="2" t="inlineStr">
        <is>
          <t>دارد</t>
        </is>
      </c>
    </row>
    <row r="197">
      <c r="A197" s="2" t="n">
        <v>196</v>
      </c>
      <c r="B197" s="2" t="inlineStr">
        <is>
          <t>DIN</t>
        </is>
      </c>
      <c r="C197" s="3" t="inlineStr">
        <is>
          <t>DIN 3017</t>
        </is>
      </c>
      <c r="D197" s="4" t="inlineStr">
        <is>
          <t>بست شلنگ</t>
        </is>
      </c>
      <c r="E197" s="4" t="inlineStr">
        <is>
          <t>Hose Clamps</t>
        </is>
      </c>
      <c r="F197" s="4" t="inlineStr">
        <is>
          <t>سایر اتصالات و یراق</t>
        </is>
      </c>
      <c r="G197" s="2" t="n">
        <v>2</v>
      </c>
      <c r="H197" s="4" t="inlineStr">
        <is>
          <t>DIN 3017-1</t>
        </is>
      </c>
      <c r="I197" s="4" t="inlineStr"/>
      <c r="J197" s="4" t="inlineStr">
        <is>
          <t>8-12 – 210-230</t>
        </is>
      </c>
      <c r="K197" s="2" t="n">
        <v>24</v>
      </c>
      <c r="L197" s="4" t="inlineStr">
        <is>
          <t>فولاد گالوانیزه، استیل A2-70، استیل A4-70</t>
        </is>
      </c>
      <c r="M197" s="4" t="inlineStr"/>
      <c r="N197" s="2" t="n">
        <v>24</v>
      </c>
      <c r="O197" s="2" t="inlineStr">
        <is>
          <t>دارد</t>
        </is>
      </c>
      <c r="P197" s="2" t="inlineStr">
        <is>
          <t>دارد</t>
        </is>
      </c>
      <c r="Q197" s="2" t="inlineStr">
        <is>
          <t>دارد</t>
        </is>
      </c>
    </row>
    <row r="198">
      <c r="A198" s="2" t="n">
        <v>197</v>
      </c>
      <c r="B198" s="2" t="inlineStr">
        <is>
          <t>DIN</t>
        </is>
      </c>
      <c r="C198" s="3" t="inlineStr">
        <is>
          <t>DIN 3404</t>
        </is>
      </c>
      <c r="D198" s="4" t="inlineStr">
        <is>
          <t>گریس‌خور سرتخت</t>
        </is>
      </c>
      <c r="E198" s="4" t="inlineStr">
        <is>
          <t>Button head grease nipples</t>
        </is>
      </c>
      <c r="F198" s="4" t="inlineStr">
        <is>
          <t>سایر اتصالات و یراق</t>
        </is>
      </c>
      <c r="G198" s="2" t="n">
        <v>3</v>
      </c>
      <c r="H198" s="4" t="inlineStr">
        <is>
          <t>DIN 3404</t>
        </is>
      </c>
      <c r="I198" s="4" t="inlineStr"/>
      <c r="J198" s="4" t="inlineStr">
        <is>
          <t>G1/4 – M16X1.5</t>
        </is>
      </c>
      <c r="K198" s="2" t="n">
        <v>6</v>
      </c>
      <c r="L198" s="4" t="inlineStr">
        <is>
          <t>فولاد گالوانیزه، استیل A2-70، استیل A4-70</t>
        </is>
      </c>
      <c r="M198" s="4" t="inlineStr"/>
      <c r="N198" s="2" t="n">
        <v>0</v>
      </c>
      <c r="O198" s="2" t="inlineStr">
        <is>
          <t>دارد</t>
        </is>
      </c>
      <c r="P198" s="2" t="inlineStr">
        <is>
          <t>دارد</t>
        </is>
      </c>
      <c r="Q198" s="2" t="inlineStr">
        <is>
          <t>دارد</t>
        </is>
      </c>
    </row>
    <row r="199">
      <c r="A199" s="2" t="n">
        <v>198</v>
      </c>
      <c r="B199" s="2" t="inlineStr">
        <is>
          <t>DIN</t>
        </is>
      </c>
      <c r="C199" s="3" t="inlineStr">
        <is>
          <t>DIN 3570</t>
        </is>
      </c>
      <c r="D199" s="4" t="inlineStr">
        <is>
          <t>پیچ U (یوبولت)</t>
        </is>
      </c>
      <c r="E199" s="4" t="inlineStr">
        <is>
          <t>U-bolts</t>
        </is>
      </c>
      <c r="F199" s="4" t="inlineStr">
        <is>
          <t>استاد بولت و میل‌رزوه</t>
        </is>
      </c>
      <c r="G199" s="2" t="n">
        <v>1</v>
      </c>
      <c r="H199" s="4" t="inlineStr">
        <is>
          <t>DIN 3570</t>
        </is>
      </c>
      <c r="I199" s="4" t="inlineStr"/>
      <c r="J199" s="4" t="inlineStr">
        <is>
          <t>M10 – M20</t>
        </is>
      </c>
      <c r="K199" s="2" t="n">
        <v>4</v>
      </c>
      <c r="L199" s="4" t="inlineStr">
        <is>
          <t>فولاد 5.8، فولاد 8.8، فولاد 10.9، گالوانیزه، استیل A2-70، استیل A4-70</t>
        </is>
      </c>
      <c r="M199" s="4" t="inlineStr">
        <is>
          <t>پیچ کرپی U شکل لوله، یوبولت لوله گیر</t>
        </is>
      </c>
      <c r="N199" s="2" t="n">
        <v>4</v>
      </c>
      <c r="O199" s="2" t="inlineStr">
        <is>
          <t>دارد</t>
        </is>
      </c>
      <c r="P199" s="2" t="inlineStr">
        <is>
          <t>دارد</t>
        </is>
      </c>
      <c r="Q199" s="2" t="inlineStr">
        <is>
          <t>دارد</t>
        </is>
      </c>
    </row>
    <row r="200">
      <c r="A200" s="2" t="n">
        <v>199</v>
      </c>
      <c r="B200" s="2" t="inlineStr">
        <is>
          <t>DIN</t>
        </is>
      </c>
      <c r="C200" s="3" t="inlineStr">
        <is>
          <t>DIN 5406</t>
        </is>
      </c>
      <c r="D200" s="4" t="inlineStr">
        <is>
          <t>واشر قفلی مهره رینگی</t>
        </is>
      </c>
      <c r="E200" s="4" t="inlineStr">
        <is>
          <t>Lock washers for slotted round nuts (DIN 981)</t>
        </is>
      </c>
      <c r="F200" s="4" t="inlineStr">
        <is>
          <t>واشر</t>
        </is>
      </c>
      <c r="G200" s="2" t="n">
        <v>1</v>
      </c>
      <c r="H200" s="4" t="inlineStr">
        <is>
          <t>DIN 5406</t>
        </is>
      </c>
      <c r="I200" s="4" t="inlineStr"/>
      <c r="J200" s="4" t="inlineStr">
        <is>
          <t>MB0 – MB30</t>
        </is>
      </c>
      <c r="K200" s="2" t="n">
        <v>31</v>
      </c>
      <c r="L200" s="4" t="inlineStr">
        <is>
          <t>فولاد فنری یا فولاد کربنی، استیل A2، استیل A4</t>
        </is>
      </c>
      <c r="M200" s="4" t="inlineStr">
        <is>
          <t>واشر برای مهره چاکنت، واشر چاکنت، واشر قفلی زبانه‌دار بلبرینگ</t>
        </is>
      </c>
      <c r="N200" s="2" t="n">
        <v>31</v>
      </c>
      <c r="O200" s="2" t="inlineStr">
        <is>
          <t>دارد</t>
        </is>
      </c>
      <c r="P200" s="2" t="inlineStr">
        <is>
          <t>دارد</t>
        </is>
      </c>
      <c r="Q200" s="2" t="inlineStr">
        <is>
          <t>دارد</t>
        </is>
      </c>
    </row>
    <row r="201">
      <c r="A201" s="2" t="n">
        <v>200</v>
      </c>
      <c r="B201" s="2" t="inlineStr">
        <is>
          <t>DIN</t>
        </is>
      </c>
      <c r="C201" s="3" t="inlineStr">
        <is>
          <t>DIN 5914</t>
        </is>
      </c>
      <c r="D201" s="4" t="inlineStr">
        <is>
          <t>پیچ تراورس</t>
        </is>
      </c>
      <c r="E201" s="4" t="inlineStr">
        <is>
          <t>Sleeper Screws</t>
        </is>
      </c>
      <c r="F201" s="4" t="inlineStr">
        <is>
          <t>پیچ خودکار، سرمته و چوب</t>
        </is>
      </c>
      <c r="G201" s="2" t="n">
        <v>3</v>
      </c>
      <c r="H201" s="4" t="inlineStr">
        <is>
          <t>DIN 5914</t>
        </is>
      </c>
      <c r="I201" s="4" t="inlineStr"/>
      <c r="J201" s="4" t="inlineStr">
        <is>
          <t>22 – 26</t>
        </is>
      </c>
      <c r="K201" s="2" t="n">
        <v>3</v>
      </c>
      <c r="L201" s="4" t="inlineStr">
        <is>
          <t>فولاد 4.6، فولاد 5.8، فولاد 8.8</t>
        </is>
      </c>
      <c r="M201" s="4" t="inlineStr"/>
      <c r="N201" s="2" t="n">
        <v>6</v>
      </c>
      <c r="O201" s="2" t="inlineStr">
        <is>
          <t>دارد</t>
        </is>
      </c>
      <c r="P201" s="2" t="inlineStr">
        <is>
          <t>دارد</t>
        </is>
      </c>
      <c r="Q201" s="2" t="inlineStr">
        <is>
          <t>دارد</t>
        </is>
      </c>
    </row>
    <row r="202">
      <c r="A202" s="2" t="n">
        <v>201</v>
      </c>
      <c r="B202" s="2" t="inlineStr">
        <is>
          <t>DIN</t>
        </is>
      </c>
      <c r="C202" s="3" t="inlineStr">
        <is>
          <t>DIN 6319</t>
        </is>
      </c>
      <c r="D202" s="4" t="inlineStr">
        <is>
          <t>واشر کروی</t>
        </is>
      </c>
      <c r="E202" s="4" t="inlineStr">
        <is>
          <t>Spherical washers</t>
        </is>
      </c>
      <c r="F202" s="4" t="inlineStr">
        <is>
          <t>واشر</t>
        </is>
      </c>
      <c r="G202" s="2" t="n">
        <v>3</v>
      </c>
      <c r="H202" s="4" t="inlineStr">
        <is>
          <t>DIN 6319</t>
        </is>
      </c>
      <c r="I202" s="4" t="inlineStr">
        <is>
          <t>PN 82026</t>
        </is>
      </c>
      <c r="J202" s="4" t="inlineStr">
        <is>
          <t>6.4 – 50</t>
        </is>
      </c>
      <c r="K202" s="2" t="n">
        <v>12</v>
      </c>
      <c r="L202" s="4" t="inlineStr">
        <is>
          <t>فولاد سخت‌کاری‌شده با سختی حدود 230 تا 300HV، استیل در برخی تولیدات خاص</t>
        </is>
      </c>
      <c r="M202" s="4" t="inlineStr">
        <is>
          <t>واشر نشیمن مخروطی</t>
        </is>
      </c>
      <c r="N202" s="2" t="n">
        <v>12</v>
      </c>
      <c r="O202" s="2" t="inlineStr">
        <is>
          <t>دارد</t>
        </is>
      </c>
      <c r="P202" s="2" t="inlineStr">
        <is>
          <t>دارد</t>
        </is>
      </c>
      <c r="Q202" s="2" t="inlineStr">
        <is>
          <t>دارد</t>
        </is>
      </c>
    </row>
    <row r="203">
      <c r="A203" s="2" t="n">
        <v>202</v>
      </c>
      <c r="B203" s="2" t="inlineStr">
        <is>
          <t>DIN</t>
        </is>
      </c>
      <c r="C203" s="3" t="inlineStr">
        <is>
          <t>DIN 6325</t>
        </is>
      </c>
      <c r="D203" s="4" t="inlineStr">
        <is>
          <t>پین استوانه‌ای سخت کاری شده</t>
        </is>
      </c>
      <c r="E203" s="4" t="inlineStr">
        <is>
          <t>Parallel pins, hardened (dowel pins)</t>
        </is>
      </c>
      <c r="F203" s="4" t="inlineStr">
        <is>
          <t>پین</t>
        </is>
      </c>
      <c r="G203" s="2" t="n">
        <v>3</v>
      </c>
      <c r="H203" s="4" t="inlineStr">
        <is>
          <t>DIN EN 28734</t>
        </is>
      </c>
      <c r="I203" s="4" t="inlineStr">
        <is>
          <t>ISO 8734، CSN 022152، UNI 6364A</t>
        </is>
      </c>
      <c r="J203" s="4" t="inlineStr">
        <is>
          <t>1 – 20</t>
        </is>
      </c>
      <c r="K203" s="2" t="n">
        <v>13</v>
      </c>
      <c r="L203" s="4" t="inlineStr">
        <is>
          <t>فولاد ابزاری سخت‌کاری‌شده 100Cr6 FH SOJD 58–62HRC، استیل (فولاد ضدزنگ)، سفارشی (طبق نقشه)</t>
        </is>
      </c>
      <c r="M203" s="4" t="inlineStr">
        <is>
          <t>پین راهنما، پین استوانه‌ای دقیق سخت کاری شده و سنگ خورده، پین موقعیت یاب قالب</t>
        </is>
      </c>
      <c r="N203" s="2" t="n">
        <v>170</v>
      </c>
      <c r="O203" s="2" t="inlineStr">
        <is>
          <t>دارد</t>
        </is>
      </c>
      <c r="P203" s="2" t="inlineStr">
        <is>
          <t>دارد</t>
        </is>
      </c>
      <c r="Q203" s="2" t="inlineStr">
        <is>
          <t>دارد</t>
        </is>
      </c>
    </row>
    <row r="204">
      <c r="A204" s="2" t="n">
        <v>203</v>
      </c>
      <c r="B204" s="2" t="inlineStr">
        <is>
          <t>DIN</t>
        </is>
      </c>
      <c r="C204" s="3" t="inlineStr">
        <is>
          <t>DIN 6330</t>
        </is>
      </c>
      <c r="D204" s="4" t="inlineStr">
        <is>
          <t>مهره شش‌گوش بلند (1.5d)</t>
        </is>
      </c>
      <c r="E204" s="4" t="inlineStr">
        <is>
          <t>Hexagon nuts, height 1.5d</t>
        </is>
      </c>
      <c r="F204" s="4" t="inlineStr">
        <is>
          <t>مهره</t>
        </is>
      </c>
      <c r="G204" s="2" t="n">
        <v>2</v>
      </c>
      <c r="H204" s="4" t="inlineStr">
        <is>
          <t>DIN 6330</t>
        </is>
      </c>
      <c r="I204" s="4" t="inlineStr">
        <is>
          <t>PN 61272</t>
        </is>
      </c>
      <c r="J204" s="4" t="inlineStr">
        <is>
          <t>M6 – M48</t>
        </is>
      </c>
      <c r="K204" s="2" t="n">
        <v>11</v>
      </c>
      <c r="L204" s="4" t="inlineStr">
        <is>
          <t>کلاس 6، کلاس 8، کلاس 10، کلاس 12، استیل A2-70، استیل A4-70</t>
        </is>
      </c>
      <c r="M204" s="4" t="inlineStr">
        <is>
          <t>مهره شش‌گوش بلند با 1.5برابر برابر قطر رزوه ( مهره بلندمخصوص فیکسچر و قالب بندی)</t>
        </is>
      </c>
      <c r="N204" s="2" t="n">
        <v>11</v>
      </c>
      <c r="O204" s="2" t="inlineStr">
        <is>
          <t>دارد</t>
        </is>
      </c>
      <c r="P204" s="2" t="inlineStr">
        <is>
          <t>دارد</t>
        </is>
      </c>
      <c r="Q204" s="2" t="inlineStr">
        <is>
          <t>دارد</t>
        </is>
      </c>
    </row>
    <row r="205">
      <c r="A205" s="2" t="n">
        <v>204</v>
      </c>
      <c r="B205" s="2" t="inlineStr">
        <is>
          <t>DIN</t>
        </is>
      </c>
      <c r="C205" s="3" t="inlineStr">
        <is>
          <t>DIN 6331</t>
        </is>
      </c>
      <c r="D205" s="4" t="inlineStr">
        <is>
          <t>مهره شش‌گوش یقه‌دار بلند</t>
        </is>
      </c>
      <c r="E205" s="4" t="inlineStr">
        <is>
          <t>Hexagon nuts with collar, height 1.5d</t>
        </is>
      </c>
      <c r="F205" s="4" t="inlineStr">
        <is>
          <t>مهره</t>
        </is>
      </c>
      <c r="G205" s="2" t="n">
        <v>2</v>
      </c>
      <c r="H205" s="4" t="inlineStr">
        <is>
          <t>DIN 6331</t>
        </is>
      </c>
      <c r="I205" s="4" t="inlineStr">
        <is>
          <t>PN 61272</t>
        </is>
      </c>
      <c r="J205" s="4" t="inlineStr">
        <is>
          <t>M6 – M48</t>
        </is>
      </c>
      <c r="K205" s="2" t="n">
        <v>12</v>
      </c>
      <c r="L205" s="4" t="inlineStr">
        <is>
          <t>کلاس 6، کلاس 8، کلاس 10، کلاس 12، استیل A2-70، استیل A4-70</t>
        </is>
      </c>
      <c r="M205" s="4" t="inlineStr">
        <is>
          <t>مهره شش‌گوش واشردار بلند، مهره پایه‌دار مخصوص فیکسچر و قالب بندی</t>
        </is>
      </c>
      <c r="N205" s="2" t="n">
        <v>12</v>
      </c>
      <c r="O205" s="2" t="inlineStr">
        <is>
          <t>دارد</t>
        </is>
      </c>
      <c r="P205" s="2" t="inlineStr">
        <is>
          <t>دارد</t>
        </is>
      </c>
      <c r="Q205" s="2" t="inlineStr">
        <is>
          <t>دارد</t>
        </is>
      </c>
    </row>
    <row r="206">
      <c r="A206" s="2" t="n">
        <v>205</v>
      </c>
      <c r="B206" s="2" t="inlineStr">
        <is>
          <t>DIN</t>
        </is>
      </c>
      <c r="C206" s="3" t="inlineStr">
        <is>
          <t>DIN 6332</t>
        </is>
      </c>
      <c r="D206" s="4" t="inlineStr">
        <is>
          <t>پیچ کلمپ نوک فشاری</t>
        </is>
      </c>
      <c r="E206" s="4" t="inlineStr">
        <is>
          <t>Grub screws with thrust point</t>
        </is>
      </c>
      <c r="F206" s="4" t="inlineStr">
        <is>
          <t>پیچ مغزی</t>
        </is>
      </c>
      <c r="G206" s="2" t="n">
        <v>3</v>
      </c>
      <c r="H206" s="4" t="inlineStr">
        <is>
          <t>DIN 6332</t>
        </is>
      </c>
      <c r="I206" s="4" t="inlineStr">
        <is>
          <t>PN 61260</t>
        </is>
      </c>
      <c r="J206" s="4" t="inlineStr">
        <is>
          <t>M6 – M20</t>
        </is>
      </c>
      <c r="K206" s="2" t="n">
        <v>6</v>
      </c>
      <c r="L206" s="4" t="inlineStr">
        <is>
          <t>فولاد 5.8، فولاد 8.8، استیل A2-70، استیل A4-70</t>
        </is>
      </c>
      <c r="M206" s="4" t="inlineStr">
        <is>
          <t>پیچ تنظیم شش‌گوش نوک فشاری</t>
        </is>
      </c>
      <c r="N206" s="2" t="n">
        <v>21</v>
      </c>
      <c r="O206" s="2" t="inlineStr">
        <is>
          <t>دارد</t>
        </is>
      </c>
      <c r="P206" s="2" t="inlineStr">
        <is>
          <t>دارد</t>
        </is>
      </c>
      <c r="Q206" s="2" t="inlineStr">
        <is>
          <t>دارد</t>
        </is>
      </c>
    </row>
    <row r="207">
      <c r="A207" s="2" t="n">
        <v>206</v>
      </c>
      <c r="B207" s="2" t="inlineStr">
        <is>
          <t>DIN</t>
        </is>
      </c>
      <c r="C207" s="3" t="inlineStr">
        <is>
          <t>DIN 6334</t>
        </is>
      </c>
      <c r="D207" s="4" t="inlineStr">
        <is>
          <t>مهره شش‌گوش بلند (3d)</t>
        </is>
      </c>
      <c r="E207" s="4" t="inlineStr">
        <is>
          <t>Hexagon coupling nuts, height 3d</t>
        </is>
      </c>
      <c r="F207" s="4" t="inlineStr">
        <is>
          <t>مهره</t>
        </is>
      </c>
      <c r="G207" s="2" t="n">
        <v>2</v>
      </c>
      <c r="H207" s="4" t="inlineStr"/>
      <c r="I207" s="4" t="inlineStr">
        <is>
          <t>CSN 021604</t>
        </is>
      </c>
      <c r="J207" s="4" t="inlineStr">
        <is>
          <t>M6 – M20</t>
        </is>
      </c>
      <c r="K207" s="2" t="n">
        <v>6</v>
      </c>
      <c r="L207" s="4" t="inlineStr">
        <is>
          <t>کلاس 5، کلاس 8، کلاس 10، استیل A2-70، استیل A4-70</t>
        </is>
      </c>
      <c r="M207" s="4" t="inlineStr">
        <is>
          <t>مهره شش‌گوش بلند اتصال دهنده، مهره رابط، مهره کوپلینگ</t>
        </is>
      </c>
      <c r="N207" s="2" t="n">
        <v>6</v>
      </c>
      <c r="O207" s="2" t="inlineStr">
        <is>
          <t>دارد</t>
        </is>
      </c>
      <c r="P207" s="2" t="inlineStr">
        <is>
          <t>دارد</t>
        </is>
      </c>
      <c r="Q207" s="2" t="inlineStr">
        <is>
          <t>دارد</t>
        </is>
      </c>
    </row>
    <row r="208">
      <c r="A208" s="2" t="n">
        <v>207</v>
      </c>
      <c r="B208" s="2" t="inlineStr">
        <is>
          <t>DIN</t>
        </is>
      </c>
      <c r="C208" s="3" t="inlineStr">
        <is>
          <t>DIN 6335 D</t>
        </is>
      </c>
      <c r="D208" s="4" t="inlineStr">
        <is>
          <t>دستگیرهٔ چهارپر سوراخ‌دار</t>
        </is>
      </c>
      <c r="E208" s="4" t="inlineStr">
        <is>
          <t>Cross handles Form D with through holes</t>
        </is>
      </c>
      <c r="F208" s="4" t="inlineStr">
        <is>
          <t>سایر اتصالات و یراق</t>
        </is>
      </c>
      <c r="G208" s="2" t="n">
        <v>3</v>
      </c>
      <c r="H208" s="4" t="inlineStr">
        <is>
          <t>DIN 6335</t>
        </is>
      </c>
      <c r="I208" s="4" t="inlineStr"/>
      <c r="J208" s="4" t="inlineStr">
        <is>
          <t>M6 – M20</t>
        </is>
      </c>
      <c r="K208" s="2" t="n">
        <v>6</v>
      </c>
      <c r="L208" s="4" t="inlineStr">
        <is>
          <t>چدن، فولاد کربنی، استیل (فولاد ضدزنگ)، پلاستیک با مغزی فلزی</t>
        </is>
      </c>
      <c r="M208" s="4" t="inlineStr">
        <is>
          <t>مهره فلکه‌ای ستاره‌ای، مهره دستی چهارپر</t>
        </is>
      </c>
      <c r="N208" s="2" t="n">
        <v>6</v>
      </c>
      <c r="O208" s="2" t="inlineStr">
        <is>
          <t>دارد</t>
        </is>
      </c>
      <c r="P208" s="2" t="inlineStr">
        <is>
          <t>دارد</t>
        </is>
      </c>
      <c r="Q208" s="2" t="inlineStr">
        <is>
          <t>دارد</t>
        </is>
      </c>
    </row>
    <row r="209">
      <c r="A209" s="2" t="n">
        <v>208</v>
      </c>
      <c r="B209" s="2" t="inlineStr">
        <is>
          <t>DIN</t>
        </is>
      </c>
      <c r="C209" s="3" t="inlineStr">
        <is>
          <t>DIN 6335 K</t>
        </is>
      </c>
      <c r="D209" s="4" t="inlineStr">
        <is>
          <t>دستگیرهٔ چهارپر با بوش رزوه‌دار</t>
        </is>
      </c>
      <c r="E209" s="4" t="inlineStr">
        <is>
          <t>Cross Handles form K with threaded bush</t>
        </is>
      </c>
      <c r="F209" s="4" t="inlineStr">
        <is>
          <t>سایر اتصالات و یراق</t>
        </is>
      </c>
      <c r="G209" s="2" t="n">
        <v>3</v>
      </c>
      <c r="H209" s="4" t="inlineStr">
        <is>
          <t>DIN 6335</t>
        </is>
      </c>
      <c r="I209" s="4" t="inlineStr"/>
      <c r="J209" s="4" t="inlineStr">
        <is>
          <t>M5 – M16</t>
        </is>
      </c>
      <c r="K209" s="2" t="n">
        <v>6</v>
      </c>
      <c r="L209" s="4" t="inlineStr">
        <is>
          <t>چدن، باکالیت، پلاستیک تقویت‌شده، مغزی رزوه‌دار از فولاد گالوانیزه یا استیل</t>
        </is>
      </c>
      <c r="M209" s="4" t="inlineStr">
        <is>
          <t>مهره ستاره‌ای دستی، مهره فلکه‌ای چندپر</t>
        </is>
      </c>
      <c r="N209" s="2" t="n">
        <v>6</v>
      </c>
      <c r="O209" s="2" t="inlineStr">
        <is>
          <t>دارد</t>
        </is>
      </c>
      <c r="P209" s="2" t="inlineStr">
        <is>
          <t>دارد</t>
        </is>
      </c>
      <c r="Q209" s="2" t="inlineStr">
        <is>
          <t>دارد</t>
        </is>
      </c>
    </row>
    <row r="210">
      <c r="A210" s="2" t="n">
        <v>209</v>
      </c>
      <c r="B210" s="2" t="inlineStr">
        <is>
          <t>DIN</t>
        </is>
      </c>
      <c r="C210" s="3" t="inlineStr">
        <is>
          <t>DIN 6336 D</t>
        </is>
      </c>
      <c r="D210" s="4" t="inlineStr">
        <is>
          <t>دستگیرهٔ ستاره‌ای سوراخ‌دار</t>
        </is>
      </c>
      <c r="E210" s="4" t="inlineStr">
        <is>
          <t>Star knobs Form D with through holes</t>
        </is>
      </c>
      <c r="F210" s="4" t="inlineStr">
        <is>
          <t>سایر اتصالات و یراق</t>
        </is>
      </c>
      <c r="G210" s="2" t="n">
        <v>3</v>
      </c>
      <c r="H210" s="4" t="inlineStr">
        <is>
          <t>DIN 6336</t>
        </is>
      </c>
      <c r="I210" s="4" t="inlineStr"/>
      <c r="J210" s="4" t="inlineStr">
        <is>
          <t>M6 – M16</t>
        </is>
      </c>
      <c r="K210" s="2" t="n">
        <v>5</v>
      </c>
      <c r="L210" s="4" t="inlineStr">
        <is>
          <t>پلاستیک تقویت‌شده پلی آمید PA6، باکالیت، بوش رزوه‌دار فولادی یا استیل</t>
        </is>
      </c>
      <c r="M210" s="4" t="inlineStr">
        <is>
          <t>مهره ستاره‌ای دستی چهارپر، مهره فلکه‌ای پلاستیکی</t>
        </is>
      </c>
      <c r="N210" s="2" t="n">
        <v>5</v>
      </c>
      <c r="O210" s="2" t="inlineStr">
        <is>
          <t>دارد</t>
        </is>
      </c>
      <c r="P210" s="2" t="inlineStr">
        <is>
          <t>دارد</t>
        </is>
      </c>
      <c r="Q210" s="2" t="inlineStr">
        <is>
          <t>دارد</t>
        </is>
      </c>
    </row>
    <row r="211">
      <c r="A211" s="2" t="n">
        <v>210</v>
      </c>
      <c r="B211" s="2" t="inlineStr">
        <is>
          <t>DIN</t>
        </is>
      </c>
      <c r="C211" s="3" t="inlineStr">
        <is>
          <t>DIN 6336 K</t>
        </is>
      </c>
      <c r="D211" s="4" t="inlineStr">
        <is>
          <t>دستگیرهٔ ستاره‌ای با بوش رزوه‌دار</t>
        </is>
      </c>
      <c r="E211" s="4" t="inlineStr">
        <is>
          <t>Star knobs form K with threaded bush</t>
        </is>
      </c>
      <c r="F211" s="4" t="inlineStr">
        <is>
          <t>سایر اتصالات و یراق</t>
        </is>
      </c>
      <c r="G211" s="2" t="n">
        <v>3</v>
      </c>
      <c r="H211" s="4" t="inlineStr">
        <is>
          <t>DIN 6336</t>
        </is>
      </c>
      <c r="I211" s="4" t="inlineStr"/>
      <c r="J211" s="4" t="inlineStr">
        <is>
          <t>M4 – M16</t>
        </is>
      </c>
      <c r="K211" s="2" t="n">
        <v>7</v>
      </c>
      <c r="L211" s="4" t="inlineStr">
        <is>
          <t>پلاستیک تقویت‌شده پلی آمید PA6، باکالیت، بوش فلزی از فولاد گالوانیزه یا استیل</t>
        </is>
      </c>
      <c r="M211" s="4" t="inlineStr">
        <is>
          <t>مهره ستاره‌ای دستی چهارپر، مهره فلکه‌ای پلاستیکی</t>
        </is>
      </c>
      <c r="N211" s="2" t="n">
        <v>7</v>
      </c>
      <c r="O211" s="2" t="inlineStr">
        <is>
          <t>دارد</t>
        </is>
      </c>
      <c r="P211" s="2" t="inlineStr">
        <is>
          <t>دارد</t>
        </is>
      </c>
      <c r="Q211" s="2" t="inlineStr">
        <is>
          <t>دارد</t>
        </is>
      </c>
    </row>
    <row r="212">
      <c r="A212" s="2" t="n">
        <v>211</v>
      </c>
      <c r="B212" s="2" t="inlineStr">
        <is>
          <t>DIN</t>
        </is>
      </c>
      <c r="C212" s="3" t="inlineStr">
        <is>
          <t>DIN 6340</t>
        </is>
      </c>
      <c r="D212" s="4" t="inlineStr">
        <is>
          <t>واشر قید و بست</t>
        </is>
      </c>
      <c r="E212" s="4" t="inlineStr">
        <is>
          <t>Washers for clamping devices</t>
        </is>
      </c>
      <c r="F212" s="4" t="inlineStr">
        <is>
          <t>واشر</t>
        </is>
      </c>
      <c r="G212" s="2" t="n">
        <v>2</v>
      </c>
      <c r="H212" s="4" t="inlineStr">
        <is>
          <t>DIN 6340</t>
        </is>
      </c>
      <c r="I212" s="4" t="inlineStr"/>
      <c r="J212" s="4" t="inlineStr">
        <is>
          <t>M6 – M30</t>
        </is>
      </c>
      <c r="K212" s="2" t="n">
        <v>8</v>
      </c>
      <c r="L212" s="4" t="inlineStr">
        <is>
          <t>فولاد سخت‌کاری‌شده با سختی حدود 350HV، استیل در برخی تولیدات خاص</t>
        </is>
      </c>
      <c r="M212" s="4" t="inlineStr">
        <is>
          <t>واشر تخت ضخیم و سخت کاری شده مخصوص پیچهای گرید بالا، واشر سنگین قیکسچر و قالب بندی</t>
        </is>
      </c>
      <c r="N212" s="2" t="n">
        <v>8</v>
      </c>
      <c r="O212" s="2" t="inlineStr">
        <is>
          <t>دارد</t>
        </is>
      </c>
      <c r="P212" s="2" t="inlineStr">
        <is>
          <t>دارد</t>
        </is>
      </c>
      <c r="Q212" s="2" t="inlineStr">
        <is>
          <t>دارد</t>
        </is>
      </c>
    </row>
    <row r="213">
      <c r="A213" s="2" t="n">
        <v>212</v>
      </c>
      <c r="B213" s="2" t="inlineStr">
        <is>
          <t>DIN</t>
        </is>
      </c>
      <c r="C213" s="3" t="inlineStr">
        <is>
          <t>DIN 6796</t>
        </is>
      </c>
      <c r="D213" s="4" t="inlineStr">
        <is>
          <t>واشر فنری مخروطی</t>
        </is>
      </c>
      <c r="E213" s="4" t="inlineStr">
        <is>
          <t>Conical spring washer for bolted connections</t>
        </is>
      </c>
      <c r="F213" s="4" t="inlineStr">
        <is>
          <t>واشر</t>
        </is>
      </c>
      <c r="G213" s="2" t="n">
        <v>1</v>
      </c>
      <c r="H213" s="4" t="inlineStr">
        <is>
          <t>DIN 6796</t>
        </is>
      </c>
      <c r="I213" s="4" t="inlineStr"/>
      <c r="J213" s="4" t="inlineStr">
        <is>
          <t>M2.5 – M30</t>
        </is>
      </c>
      <c r="K213" s="2" t="n">
        <v>18</v>
      </c>
      <c r="L213" s="4" t="inlineStr">
        <is>
          <t>فولاد سخت‌کاری‌شده با سختی حدود 420 تا 510HV، استیل فنری</t>
        </is>
      </c>
      <c r="M213" s="4" t="inlineStr">
        <is>
          <t>واشر بشقابی بار بالا، واشر فنری قفل کن پیچ</t>
        </is>
      </c>
      <c r="N213" s="2" t="n">
        <v>18</v>
      </c>
      <c r="O213" s="2" t="inlineStr">
        <is>
          <t>دارد</t>
        </is>
      </c>
      <c r="P213" s="2" t="inlineStr">
        <is>
          <t>دارد</t>
        </is>
      </c>
      <c r="Q213" s="2" t="inlineStr">
        <is>
          <t>دارد</t>
        </is>
      </c>
    </row>
    <row r="214">
      <c r="A214" s="2" t="n">
        <v>213</v>
      </c>
      <c r="B214" s="2" t="inlineStr">
        <is>
          <t>DIN</t>
        </is>
      </c>
      <c r="C214" s="3" t="inlineStr">
        <is>
          <t>DIN 6797 A</t>
        </is>
      </c>
      <c r="D214" s="4" t="inlineStr">
        <is>
          <t>واشر دندانه‌دار بیرونی</t>
        </is>
      </c>
      <c r="E214" s="4" t="inlineStr">
        <is>
          <t>Toothed lock washers, external teeth, Form A</t>
        </is>
      </c>
      <c r="F214" s="4" t="inlineStr">
        <is>
          <t>واشر</t>
        </is>
      </c>
      <c r="G214" s="2" t="n">
        <v>1</v>
      </c>
      <c r="H214" s="4" t="inlineStr">
        <is>
          <t>DIN 6797</t>
        </is>
      </c>
      <c r="I214" s="4" t="inlineStr">
        <is>
          <t>CSN 021744، UNI 8841</t>
        </is>
      </c>
      <c r="J214" s="4" t="inlineStr">
        <is>
          <t>M1.6 – M30</t>
        </is>
      </c>
      <c r="K214" s="2" t="n">
        <v>20</v>
      </c>
      <c r="L214" s="4" t="inlineStr">
        <is>
          <t>فولاد فنری سخت‌کاری‌شده با پوشش گالوانیزه، استیل فنری، استیل A2، استیل A4</t>
        </is>
      </c>
      <c r="M214" s="4" t="inlineStr"/>
      <c r="N214" s="2" t="n">
        <v>20</v>
      </c>
      <c r="O214" s="2" t="inlineStr">
        <is>
          <t>دارد</t>
        </is>
      </c>
      <c r="P214" s="2" t="inlineStr">
        <is>
          <t>دارد</t>
        </is>
      </c>
      <c r="Q214" s="2" t="inlineStr">
        <is>
          <t>دارد</t>
        </is>
      </c>
    </row>
    <row r="215">
      <c r="A215" s="2" t="n">
        <v>214</v>
      </c>
      <c r="B215" s="2" t="inlineStr">
        <is>
          <t>DIN</t>
        </is>
      </c>
      <c r="C215" s="3" t="inlineStr">
        <is>
          <t>DIN 6797 J</t>
        </is>
      </c>
      <c r="D215" s="4" t="inlineStr">
        <is>
          <t>واشر دندانه‌دار داخلی</t>
        </is>
      </c>
      <c r="E215" s="4" t="inlineStr">
        <is>
          <t>Toothed lock washers, internal teeth, Form J</t>
        </is>
      </c>
      <c r="F215" s="4" t="inlineStr">
        <is>
          <t>واشر</t>
        </is>
      </c>
      <c r="G215" s="2" t="n">
        <v>1</v>
      </c>
      <c r="H215" s="4" t="inlineStr">
        <is>
          <t>DIN 6797J</t>
        </is>
      </c>
      <c r="I215" s="4" t="inlineStr">
        <is>
          <t>CSN 021744، UNI 8841</t>
        </is>
      </c>
      <c r="J215" s="4" t="inlineStr">
        <is>
          <t>M2 – M30</t>
        </is>
      </c>
      <c r="K215" s="2" t="n">
        <v>19</v>
      </c>
      <c r="L215" s="4" t="inlineStr">
        <is>
          <t>فولاد فنری سخت‌کاری‌شده با پوشش گالوانیزه، استیل فنری، استیل A2، استیل A4</t>
        </is>
      </c>
      <c r="M215" s="4" t="inlineStr"/>
      <c r="N215" s="2" t="n">
        <v>19</v>
      </c>
      <c r="O215" s="2" t="inlineStr">
        <is>
          <t>دارد</t>
        </is>
      </c>
      <c r="P215" s="2" t="inlineStr">
        <is>
          <t>دارد</t>
        </is>
      </c>
      <c r="Q215" s="2" t="inlineStr">
        <is>
          <t>دارد</t>
        </is>
      </c>
    </row>
    <row r="216">
      <c r="A216" s="2" t="n">
        <v>215</v>
      </c>
      <c r="B216" s="2" t="inlineStr">
        <is>
          <t>DIN</t>
        </is>
      </c>
      <c r="C216" s="3" t="inlineStr">
        <is>
          <t>DIN 6797 V</t>
        </is>
      </c>
      <c r="D216" s="4" t="inlineStr">
        <is>
          <t>واشر دندانه‌دار مخروطی</t>
        </is>
      </c>
      <c r="E216" s="4" t="inlineStr">
        <is>
          <t>Toothed lock washers, countersunk, Form V</t>
        </is>
      </c>
      <c r="F216" s="4" t="inlineStr">
        <is>
          <t>واشر</t>
        </is>
      </c>
      <c r="G216" s="2" t="n">
        <v>1</v>
      </c>
      <c r="H216" s="4" t="inlineStr">
        <is>
          <t>DIN 6797V</t>
        </is>
      </c>
      <c r="I216" s="4" t="inlineStr">
        <is>
          <t>CSN 021744، UNI 8841</t>
        </is>
      </c>
      <c r="J216" s="4" t="inlineStr">
        <is>
          <t>M2 – M16</t>
        </is>
      </c>
      <c r="K216" s="2" t="n">
        <v>12</v>
      </c>
      <c r="L216" s="4" t="inlineStr">
        <is>
          <t>فولاد فنری سخت‌کاری‌شده با پوشش گالوانیزه، استیل فنری، استیل A2، استیل A4</t>
        </is>
      </c>
      <c r="M216" s="4" t="inlineStr"/>
      <c r="N216" s="2" t="n">
        <v>12</v>
      </c>
      <c r="O216" s="2" t="inlineStr">
        <is>
          <t>دارد</t>
        </is>
      </c>
      <c r="P216" s="2" t="inlineStr">
        <is>
          <t>دارد</t>
        </is>
      </c>
      <c r="Q216" s="2" t="inlineStr">
        <is>
          <t>دارد</t>
        </is>
      </c>
    </row>
    <row r="217">
      <c r="A217" s="2" t="n">
        <v>216</v>
      </c>
      <c r="B217" s="2" t="inlineStr">
        <is>
          <t>DIN</t>
        </is>
      </c>
      <c r="C217" s="3" t="inlineStr">
        <is>
          <t>DIN 6798 A</t>
        </is>
      </c>
      <c r="D217" s="4" t="inlineStr">
        <is>
          <t>واشر ستاره‌ای بیرونی</t>
        </is>
      </c>
      <c r="E217" s="4" t="inlineStr">
        <is>
          <t>Serrated lock washers, external teeth, Form A</t>
        </is>
      </c>
      <c r="F217" s="4" t="inlineStr">
        <is>
          <t>واشر</t>
        </is>
      </c>
      <c r="G217" s="2" t="n">
        <v>1</v>
      </c>
      <c r="H217" s="4" t="inlineStr">
        <is>
          <t>DIN 6798</t>
        </is>
      </c>
      <c r="I217" s="4" t="inlineStr">
        <is>
          <t>CSN 021745، UNI 8842</t>
        </is>
      </c>
      <c r="J217" s="4" t="inlineStr">
        <is>
          <t>M1.6 – M30</t>
        </is>
      </c>
      <c r="K217" s="2" t="n">
        <v>20</v>
      </c>
      <c r="L217" s="4" t="inlineStr">
        <is>
          <t>فولاد فنری سخت‌کاری‌شده با پوشش گالوانیزه، استیل فنری، استیل A2، استیل A4</t>
        </is>
      </c>
      <c r="M217" s="4" t="inlineStr"/>
      <c r="N217" s="2" t="n">
        <v>20</v>
      </c>
      <c r="O217" s="2" t="inlineStr">
        <is>
          <t>دارد</t>
        </is>
      </c>
      <c r="P217" s="2" t="inlineStr">
        <is>
          <t>دارد</t>
        </is>
      </c>
      <c r="Q217" s="2" t="inlineStr">
        <is>
          <t>دارد</t>
        </is>
      </c>
    </row>
    <row r="218">
      <c r="A218" s="2" t="n">
        <v>217</v>
      </c>
      <c r="B218" s="2" t="inlineStr">
        <is>
          <t>DIN</t>
        </is>
      </c>
      <c r="C218" s="3" t="inlineStr">
        <is>
          <t>DIN 6798 J</t>
        </is>
      </c>
      <c r="D218" s="4" t="inlineStr">
        <is>
          <t>واشر ستاره‌ای داخلی</t>
        </is>
      </c>
      <c r="E218" s="4" t="inlineStr">
        <is>
          <t>Serrated lock washers, internal teeth, Form J</t>
        </is>
      </c>
      <c r="F218" s="4" t="inlineStr">
        <is>
          <t>واشر</t>
        </is>
      </c>
      <c r="G218" s="2" t="n">
        <v>1</v>
      </c>
      <c r="H218" s="4" t="inlineStr">
        <is>
          <t>DIN 6798</t>
        </is>
      </c>
      <c r="I218" s="4" t="inlineStr">
        <is>
          <t>CSN 021746، UNI 8842</t>
        </is>
      </c>
      <c r="J218" s="4" t="inlineStr">
        <is>
          <t>M1.6 – M30</t>
        </is>
      </c>
      <c r="K218" s="2" t="n">
        <v>20</v>
      </c>
      <c r="L218" s="4" t="inlineStr">
        <is>
          <t>فولاد فنری سخت‌کاری‌شده با پوشش گالوانیزه، استیل فنری، استیل A2، استیل A4</t>
        </is>
      </c>
      <c r="M218" s="4" t="inlineStr"/>
      <c r="N218" s="2" t="n">
        <v>20</v>
      </c>
      <c r="O218" s="2" t="inlineStr">
        <is>
          <t>دارد</t>
        </is>
      </c>
      <c r="P218" s="2" t="inlineStr">
        <is>
          <t>دارد</t>
        </is>
      </c>
      <c r="Q218" s="2" t="inlineStr">
        <is>
          <t>دارد</t>
        </is>
      </c>
    </row>
    <row r="219">
      <c r="A219" s="2" t="n">
        <v>218</v>
      </c>
      <c r="B219" s="2" t="inlineStr">
        <is>
          <t>DIN</t>
        </is>
      </c>
      <c r="C219" s="3" t="inlineStr">
        <is>
          <t>DIN 6798 V</t>
        </is>
      </c>
      <c r="D219" s="4" t="inlineStr">
        <is>
          <t>واشر ستاره‌ای مخروطی</t>
        </is>
      </c>
      <c r="E219" s="4" t="inlineStr">
        <is>
          <t>Serrated lock washers, countersunk, Form V</t>
        </is>
      </c>
      <c r="F219" s="4" t="inlineStr">
        <is>
          <t>واشر</t>
        </is>
      </c>
      <c r="G219" s="2" t="n">
        <v>1</v>
      </c>
      <c r="H219" s="4" t="inlineStr">
        <is>
          <t>DIN 6798</t>
        </is>
      </c>
      <c r="I219" s="4" t="inlineStr">
        <is>
          <t>CSN 021745، UNI 8841</t>
        </is>
      </c>
      <c r="J219" s="4" t="inlineStr">
        <is>
          <t>M2 – M16</t>
        </is>
      </c>
      <c r="K219" s="2" t="n">
        <v>12</v>
      </c>
      <c r="L219" s="4" t="inlineStr">
        <is>
          <t>فولاد فنری سخت‌کاری‌شده با پوشش گالوانیزه، استیل فنری، استیل A2، استیل A4</t>
        </is>
      </c>
      <c r="M219" s="4" t="inlineStr"/>
      <c r="N219" s="2" t="n">
        <v>12</v>
      </c>
      <c r="O219" s="2" t="inlineStr">
        <is>
          <t>دارد</t>
        </is>
      </c>
      <c r="P219" s="2" t="inlineStr">
        <is>
          <t>دارد</t>
        </is>
      </c>
      <c r="Q219" s="2" t="inlineStr">
        <is>
          <t>دارد</t>
        </is>
      </c>
    </row>
    <row r="220">
      <c r="A220" s="2" t="n">
        <v>219</v>
      </c>
      <c r="B220" s="2" t="inlineStr">
        <is>
          <t>DIN</t>
        </is>
      </c>
      <c r="C220" s="3" t="inlineStr">
        <is>
          <t>DIN 6799</t>
        </is>
      </c>
      <c r="D220" s="4" t="inlineStr">
        <is>
          <t>خار E (محور تخت)</t>
        </is>
      </c>
      <c r="E220" s="4" t="inlineStr">
        <is>
          <t>Retaining washers (E-clips) for shafts</t>
        </is>
      </c>
      <c r="F220" s="4" t="inlineStr">
        <is>
          <t>خار</t>
        </is>
      </c>
      <c r="G220" s="2" t="n">
        <v>1</v>
      </c>
      <c r="H220" s="4" t="inlineStr">
        <is>
          <t>DIN 6799</t>
        </is>
      </c>
      <c r="I220" s="4" t="inlineStr">
        <is>
          <t>CSN 022929، PN 85112، UNI 7434</t>
        </is>
      </c>
      <c r="J220" s="4" t="inlineStr">
        <is>
          <t>0.8 – 30</t>
        </is>
      </c>
      <c r="K220" s="2" t="n">
        <v>18</v>
      </c>
      <c r="L220" s="4" t="inlineStr">
        <is>
          <t>فولاد فنری C67S، C75S، استیل فنری 1.4310، 1.4122</t>
        </is>
      </c>
      <c r="M220" s="4" t="inlineStr">
        <is>
          <t>خار فشاری</t>
        </is>
      </c>
      <c r="N220" s="2" t="n">
        <v>18</v>
      </c>
      <c r="O220" s="2" t="inlineStr">
        <is>
          <t>دارد</t>
        </is>
      </c>
      <c r="P220" s="2" t="inlineStr">
        <is>
          <t>دارد</t>
        </is>
      </c>
      <c r="Q220" s="2" t="inlineStr">
        <is>
          <t>دارد</t>
        </is>
      </c>
    </row>
    <row r="221">
      <c r="A221" s="2" t="n">
        <v>220</v>
      </c>
      <c r="B221" s="2" t="inlineStr">
        <is>
          <t>DIN</t>
        </is>
      </c>
      <c r="C221" s="3" t="inlineStr">
        <is>
          <t>DIN 6885 A</t>
        </is>
      </c>
      <c r="D221" s="4" t="inlineStr">
        <is>
          <t>خار تخت (کلید موازی)</t>
        </is>
      </c>
      <c r="E221" s="4" t="inlineStr">
        <is>
          <t>Parallel keys, high type, Form A</t>
        </is>
      </c>
      <c r="F221" s="4" t="inlineStr">
        <is>
          <t>سایر اتصالات و یراق</t>
        </is>
      </c>
      <c r="G221" s="2" t="n">
        <v>1</v>
      </c>
      <c r="H221" s="4" t="inlineStr">
        <is>
          <t>DIN 6885</t>
        </is>
      </c>
      <c r="I221" s="4" t="inlineStr">
        <is>
          <t>CSN 022562، UNI 6604</t>
        </is>
      </c>
      <c r="J221" s="4" t="inlineStr">
        <is>
          <t>4 – 100</t>
        </is>
      </c>
      <c r="K221" s="2" t="n">
        <v>24</v>
      </c>
      <c r="L221" s="4" t="inlineStr">
        <is>
          <t>فولاد کربنی 1.0503، فولاد کششی ST60، استیل A2، استیل A4، سفارشی (طبق نقشه)</t>
        </is>
      </c>
      <c r="M221" s="4" t="inlineStr">
        <is>
          <t>خار تخت دوسر گرد، خارموازی فرمA</t>
        </is>
      </c>
      <c r="N221" s="2" t="n">
        <v>24</v>
      </c>
      <c r="O221" s="2" t="inlineStr">
        <is>
          <t>دارد</t>
        </is>
      </c>
      <c r="P221" s="2" t="inlineStr">
        <is>
          <t>دارد</t>
        </is>
      </c>
      <c r="Q221" s="2" t="inlineStr">
        <is>
          <t>دارد</t>
        </is>
      </c>
    </row>
    <row r="222">
      <c r="A222" s="2" t="n">
        <v>221</v>
      </c>
      <c r="B222" s="2" t="inlineStr">
        <is>
          <t>DIN</t>
        </is>
      </c>
      <c r="C222" s="3" t="inlineStr">
        <is>
          <t>DIN 6887</t>
        </is>
      </c>
      <c r="D222" s="4" t="inlineStr">
        <is>
          <t>خار گوه‌ای سردار</t>
        </is>
      </c>
      <c r="E222" s="4" t="inlineStr">
        <is>
          <t>Taper keys gip head</t>
        </is>
      </c>
      <c r="F222" s="4" t="inlineStr">
        <is>
          <t>سایر اتصالات و یراق</t>
        </is>
      </c>
      <c r="G222" s="2" t="n">
        <v>3</v>
      </c>
      <c r="H222" s="4" t="inlineStr">
        <is>
          <t>DIN 6887</t>
        </is>
      </c>
      <c r="I222" s="4" t="inlineStr">
        <is>
          <t>CSN 022514</t>
        </is>
      </c>
      <c r="J222" s="4" t="inlineStr">
        <is>
          <t>6 – 40</t>
        </is>
      </c>
      <c r="K222" s="2" t="n">
        <v>10</v>
      </c>
      <c r="L222" s="4" t="inlineStr">
        <is>
          <t>فولاد کربنی 1.0503، فولاد کششی ST60، استیل A2، استیل A4، سفارشی (طبق نقشه)</t>
        </is>
      </c>
      <c r="M222" s="4" t="inlineStr">
        <is>
          <t>خار نیم دایره‌ای شفت، خار هلالی</t>
        </is>
      </c>
      <c r="N222" s="2" t="n">
        <v>0</v>
      </c>
      <c r="O222" s="2" t="inlineStr">
        <is>
          <t>دارد</t>
        </is>
      </c>
      <c r="P222" s="2" t="inlineStr">
        <is>
          <t>دارد</t>
        </is>
      </c>
      <c r="Q222" s="2" t="inlineStr">
        <is>
          <t>دارد</t>
        </is>
      </c>
    </row>
    <row r="223">
      <c r="A223" s="2" t="n">
        <v>222</v>
      </c>
      <c r="B223" s="2" t="inlineStr">
        <is>
          <t>DIN</t>
        </is>
      </c>
      <c r="C223" s="3" t="inlineStr">
        <is>
          <t>DIN 6888</t>
        </is>
      </c>
      <c r="D223" s="4" t="inlineStr">
        <is>
          <t>خار نیم گرد (وودراف)</t>
        </is>
      </c>
      <c r="E223" s="4" t="inlineStr">
        <is>
          <t>Woodruff keys</t>
        </is>
      </c>
      <c r="F223" s="4" t="inlineStr">
        <is>
          <t>سایر اتصالات و یراق</t>
        </is>
      </c>
      <c r="G223" s="2" t="n">
        <v>1</v>
      </c>
      <c r="H223" s="4" t="inlineStr">
        <is>
          <t>DIN 6888</t>
        </is>
      </c>
      <c r="I223" s="4" t="inlineStr">
        <is>
          <t>UNI 6606</t>
        </is>
      </c>
      <c r="J223" s="4" t="inlineStr">
        <is>
          <t>1.5X2.6 – 5X7.5</t>
        </is>
      </c>
      <c r="K223" s="2" t="n">
        <v>10</v>
      </c>
      <c r="L223" s="4" t="inlineStr">
        <is>
          <t>فولاد کربنی 1.0503، فولاد کششی ST60، استیل A2، استیل A4، سفارشی (طبق نقشه)</t>
        </is>
      </c>
      <c r="M223" s="4" t="inlineStr">
        <is>
          <t>خار هلالی</t>
        </is>
      </c>
      <c r="N223" s="2" t="n">
        <v>10</v>
      </c>
      <c r="O223" s="2" t="inlineStr">
        <is>
          <t>دارد</t>
        </is>
      </c>
      <c r="P223" s="2" t="inlineStr">
        <is>
          <t>دارد</t>
        </is>
      </c>
      <c r="Q223" s="2" t="inlineStr">
        <is>
          <t>دارد</t>
        </is>
      </c>
    </row>
    <row r="224">
      <c r="A224" s="2" t="n">
        <v>223</v>
      </c>
      <c r="B224" s="2" t="inlineStr">
        <is>
          <t>DIN</t>
        </is>
      </c>
      <c r="C224" s="3" t="inlineStr">
        <is>
          <t>DIN 6899</t>
        </is>
      </c>
      <c r="D224" s="4" t="inlineStr">
        <is>
          <t>کوس (حلقهٔ سیم بکسل)</t>
        </is>
      </c>
      <c r="E224" s="4" t="inlineStr">
        <is>
          <t>Thimbles</t>
        </is>
      </c>
      <c r="F224" s="4" t="inlineStr">
        <is>
          <t>اتصالات بالابری و مهارکش</t>
        </is>
      </c>
      <c r="G224" s="2" t="n">
        <v>2</v>
      </c>
      <c r="H224" s="4" t="inlineStr">
        <is>
          <t>VG 85275</t>
        </is>
      </c>
      <c r="I224" s="4" t="inlineStr"/>
      <c r="J224" s="4" t="inlineStr">
        <is>
          <t>3 – 44</t>
        </is>
      </c>
      <c r="K224" s="2" t="n">
        <v>24</v>
      </c>
      <c r="L224" s="4" t="inlineStr">
        <is>
          <t>فولاد کربنی با پوشش گالوانیزه، استیل A2، استیل A4</t>
        </is>
      </c>
      <c r="M224" s="4" t="inlineStr">
        <is>
          <t>گوشواره سیم بکسل</t>
        </is>
      </c>
      <c r="N224" s="2" t="n">
        <v>24</v>
      </c>
      <c r="O224" s="2" t="inlineStr">
        <is>
          <t>دارد</t>
        </is>
      </c>
      <c r="P224" s="2" t="inlineStr">
        <is>
          <t>دارد</t>
        </is>
      </c>
      <c r="Q224" s="2" t="inlineStr">
        <is>
          <t>دارد</t>
        </is>
      </c>
    </row>
    <row r="225">
      <c r="A225" s="2" t="n">
        <v>224</v>
      </c>
      <c r="B225" s="2" t="inlineStr">
        <is>
          <t>DIN</t>
        </is>
      </c>
      <c r="C225" s="3" t="inlineStr">
        <is>
          <t>DIN 6912</t>
        </is>
      </c>
      <c r="D225" s="4" t="inlineStr">
        <is>
          <t>پیچ سر استوانه آلن سر کوتاه با سوراخ راهنما</t>
        </is>
      </c>
      <c r="E225" s="4" t="inlineStr">
        <is>
          <t>Hexagon socket head cap screws, low head, with pilot recess</t>
        </is>
      </c>
      <c r="F225" s="4" t="inlineStr">
        <is>
          <t>پیچ آلن و تورکس</t>
        </is>
      </c>
      <c r="G225" s="2" t="n">
        <v>1</v>
      </c>
      <c r="H225" s="4" t="inlineStr">
        <is>
          <t>DIN 6912</t>
        </is>
      </c>
      <c r="I225" s="4" t="inlineStr"/>
      <c r="J225" s="4" t="inlineStr">
        <is>
          <t>M4 – M36</t>
        </is>
      </c>
      <c r="K225" s="2" t="n">
        <v>16</v>
      </c>
      <c r="L225" s="4" t="inlineStr">
        <is>
          <t>فولاد 8.8، فولاد 10.9، فولاد 12.9، استیل A2-70، استیل A4-70، سوپرآلیاژها و گریدهای نسوز</t>
        </is>
      </c>
      <c r="M225" s="4" t="inlineStr">
        <is>
          <t>پیچ آلن گل کوتاه سوراخ راهنما</t>
        </is>
      </c>
      <c r="N225" s="2" t="n">
        <v>209</v>
      </c>
      <c r="O225" s="2" t="inlineStr">
        <is>
          <t>دارد</t>
        </is>
      </c>
      <c r="P225" s="2" t="inlineStr">
        <is>
          <t>دارد</t>
        </is>
      </c>
      <c r="Q225" s="2" t="inlineStr">
        <is>
          <t>دارد</t>
        </is>
      </c>
    </row>
    <row r="226">
      <c r="A226" s="2" t="n">
        <v>225</v>
      </c>
      <c r="B226" s="2" t="inlineStr">
        <is>
          <t>DIN</t>
        </is>
      </c>
      <c r="C226" s="3" t="inlineStr">
        <is>
          <t>DIN 6913</t>
        </is>
      </c>
      <c r="D226" s="4" t="inlineStr">
        <is>
          <t>واشر فنری با رینگ ایمنی</t>
        </is>
      </c>
      <c r="E226" s="4" t="inlineStr">
        <is>
          <t>Spring Lock Washers With Safety Rings</t>
        </is>
      </c>
      <c r="F226" s="4" t="inlineStr">
        <is>
          <t>واشر</t>
        </is>
      </c>
      <c r="G226" s="2" t="n">
        <v>2</v>
      </c>
      <c r="H226" s="4" t="inlineStr"/>
      <c r="I226" s="4" t="inlineStr"/>
      <c r="J226" s="4" t="inlineStr">
        <is>
          <t>M3 – M42</t>
        </is>
      </c>
      <c r="K226" s="2" t="n">
        <v>19</v>
      </c>
      <c r="L226" s="4" t="inlineStr">
        <is>
          <t>فولاد سخت‌کاری‌شده با سختی حدود 300 تا 370HV</t>
        </is>
      </c>
      <c r="M226" s="4" t="inlineStr">
        <is>
          <t>واشر فنری با رینگ ایمنی مخصوص اتصالات سازه‌ای فولادی با پیچهای مقاومت بالا، واشر سازه‌ای HV</t>
        </is>
      </c>
      <c r="N226" s="2" t="n">
        <v>19</v>
      </c>
      <c r="O226" s="2" t="inlineStr">
        <is>
          <t>دارد</t>
        </is>
      </c>
      <c r="P226" s="2" t="inlineStr">
        <is>
          <t>دارد</t>
        </is>
      </c>
      <c r="Q226" s="2" t="inlineStr">
        <is>
          <t>دارد</t>
        </is>
      </c>
    </row>
    <row r="227">
      <c r="A227" s="2" t="n">
        <v>226</v>
      </c>
      <c r="B227" s="2" t="inlineStr">
        <is>
          <t>DIN</t>
        </is>
      </c>
      <c r="C227" s="3" t="inlineStr">
        <is>
          <t>DIN 6914</t>
        </is>
      </c>
      <c r="D227" s="4" t="inlineStr">
        <is>
          <t>پیچ سازه‌ای پراستحکام (HV)</t>
        </is>
      </c>
      <c r="E227" s="4" t="inlineStr">
        <is>
          <t>High-strength structural bolts (HV), large widths across flats</t>
        </is>
      </c>
      <c r="F227" s="4" t="inlineStr">
        <is>
          <t>پیچ شش‌گوش</t>
        </is>
      </c>
      <c r="G227" s="2" t="n">
        <v>1</v>
      </c>
      <c r="H227" s="4" t="inlineStr">
        <is>
          <t>DIN EN 14399-4</t>
        </is>
      </c>
      <c r="I227" s="4" t="inlineStr">
        <is>
          <t>ISO 7411، PN 82343، UNI 5712، EU 781</t>
        </is>
      </c>
      <c r="J227" s="4" t="inlineStr">
        <is>
          <t>M12 – M36</t>
        </is>
      </c>
      <c r="K227" s="2" t="n">
        <v>8</v>
      </c>
      <c r="L227" s="4" t="inlineStr">
        <is>
          <t>فولاد 10.9 HV (سازه‌ای)</t>
        </is>
      </c>
      <c r="M227" s="4" t="inlineStr">
        <is>
          <t>پیچ HV، پیچ سازه‌ای HV سر شش‌گوش گل درشت</t>
        </is>
      </c>
      <c r="N227" s="2" t="n">
        <v>185</v>
      </c>
      <c r="O227" s="2" t="inlineStr">
        <is>
          <t>دارد</t>
        </is>
      </c>
      <c r="P227" s="2" t="inlineStr">
        <is>
          <t>دارد</t>
        </is>
      </c>
      <c r="Q227" s="2" t="inlineStr">
        <is>
          <t>دارد</t>
        </is>
      </c>
    </row>
    <row r="228">
      <c r="A228" s="2" t="n">
        <v>227</v>
      </c>
      <c r="B228" s="2" t="inlineStr">
        <is>
          <t>DIN</t>
        </is>
      </c>
      <c r="C228" s="3" t="inlineStr">
        <is>
          <t>DIN 6915</t>
        </is>
      </c>
      <c r="D228" s="4" t="inlineStr">
        <is>
          <t>مهره سازه‌ای پراستحکام (HV)</t>
        </is>
      </c>
      <c r="E228" s="4" t="inlineStr">
        <is>
          <t>Hexagon nuts for high-strength structural bolting (HV)</t>
        </is>
      </c>
      <c r="F228" s="4" t="inlineStr">
        <is>
          <t>مهره</t>
        </is>
      </c>
      <c r="G228" s="2" t="n">
        <v>1</v>
      </c>
      <c r="H228" s="4" t="inlineStr">
        <is>
          <t>DIN EN 14399-4</t>
        </is>
      </c>
      <c r="I228" s="4" t="inlineStr">
        <is>
          <t>ISO 4775، PN 82171، UNI 5713، EU 780</t>
        </is>
      </c>
      <c r="J228" s="4" t="inlineStr">
        <is>
          <t>M12 – M36</t>
        </is>
      </c>
      <c r="K228" s="2" t="n">
        <v>8</v>
      </c>
      <c r="L228" s="4" t="inlineStr">
        <is>
          <t>کلاس 10 HV</t>
        </is>
      </c>
      <c r="M228" s="4" t="inlineStr">
        <is>
          <t>مهرهHV، مهره مخصوص اتصالات فولادی پیش تنیده</t>
        </is>
      </c>
      <c r="N228" s="2" t="n">
        <v>8</v>
      </c>
      <c r="O228" s="2" t="inlineStr">
        <is>
          <t>دارد</t>
        </is>
      </c>
      <c r="P228" s="2" t="inlineStr">
        <is>
          <t>دارد</t>
        </is>
      </c>
      <c r="Q228" s="2" t="inlineStr">
        <is>
          <t>دارد</t>
        </is>
      </c>
    </row>
    <row r="229">
      <c r="A229" s="2" t="n">
        <v>228</v>
      </c>
      <c r="B229" s="2" t="inlineStr">
        <is>
          <t>DIN</t>
        </is>
      </c>
      <c r="C229" s="3" t="inlineStr">
        <is>
          <t>DIN 6916</t>
        </is>
      </c>
      <c r="D229" s="4" t="inlineStr">
        <is>
          <t>واشر سازه‌ای پراستحکام (HV)</t>
        </is>
      </c>
      <c r="E229" s="4" t="inlineStr">
        <is>
          <t>Round washers for high-strength structural bolting (HV)</t>
        </is>
      </c>
      <c r="F229" s="4" t="inlineStr">
        <is>
          <t>واشر</t>
        </is>
      </c>
      <c r="G229" s="2" t="n">
        <v>1</v>
      </c>
      <c r="H229" s="4" t="inlineStr">
        <is>
          <t>DIN EN 14399-6</t>
        </is>
      </c>
      <c r="I229" s="4" t="inlineStr">
        <is>
          <t>ISO 7416، PN 82039، UNI 5714، EU 784</t>
        </is>
      </c>
      <c r="J229" s="4" t="inlineStr">
        <is>
          <t>M12 – M36</t>
        </is>
      </c>
      <c r="K229" s="2" t="n">
        <v>8</v>
      </c>
      <c r="L229" s="4" t="inlineStr">
        <is>
          <t>فولاد 10.9 HV (سازه‌ای)</t>
        </is>
      </c>
      <c r="M229" s="4" t="inlineStr">
        <is>
          <t>واشرHV، واشر تخت سخت کاری شده مخصوص پیچهای شش‌گوش سنگین سازه‌ای HV</t>
        </is>
      </c>
      <c r="N229" s="2" t="n">
        <v>8</v>
      </c>
      <c r="O229" s="2" t="inlineStr">
        <is>
          <t>دارد</t>
        </is>
      </c>
      <c r="P229" s="2" t="inlineStr">
        <is>
          <t>دارد</t>
        </is>
      </c>
      <c r="Q229" s="2" t="inlineStr">
        <is>
          <t>دارد</t>
        </is>
      </c>
    </row>
    <row r="230">
      <c r="A230" s="2" t="n">
        <v>229</v>
      </c>
      <c r="B230" s="2" t="inlineStr">
        <is>
          <t>DIN</t>
        </is>
      </c>
      <c r="C230" s="3" t="inlineStr">
        <is>
          <t>DIN 6917</t>
        </is>
      </c>
      <c r="D230" s="4" t="inlineStr">
        <is>
          <t>واشر گوه‌ای HV برای تیرآهن (I)</t>
        </is>
      </c>
      <c r="E230" s="4" t="inlineStr">
        <is>
          <t>Square taper washers for I-sections, HV</t>
        </is>
      </c>
      <c r="F230" s="4" t="inlineStr">
        <is>
          <t>واشر</t>
        </is>
      </c>
      <c r="G230" s="2" t="n">
        <v>2</v>
      </c>
      <c r="H230" s="4" t="inlineStr">
        <is>
          <t>DIN 6917</t>
        </is>
      </c>
      <c r="I230" s="4" t="inlineStr">
        <is>
          <t>UNI 5715</t>
        </is>
      </c>
      <c r="J230" s="4" t="inlineStr">
        <is>
          <t>M12 – M36</t>
        </is>
      </c>
      <c r="K230" s="2" t="n">
        <v>8</v>
      </c>
      <c r="L230" s="4" t="inlineStr">
        <is>
          <t>فولاد سخت‌کاری‌شده با سختی حدود 300HV</t>
        </is>
      </c>
      <c r="M230" s="4" t="inlineStr">
        <is>
          <t>واشر ریلی، واشر شیب‌دار مربعی مخصوص اتصالات سازه‌ای HV روی بال ناودانی(شیب 8%)</t>
        </is>
      </c>
      <c r="N230" s="2" t="n">
        <v>8</v>
      </c>
      <c r="O230" s="2" t="inlineStr">
        <is>
          <t>دارد</t>
        </is>
      </c>
      <c r="P230" s="2" t="inlineStr">
        <is>
          <t>دارد</t>
        </is>
      </c>
      <c r="Q230" s="2" t="inlineStr">
        <is>
          <t>دارد</t>
        </is>
      </c>
    </row>
    <row r="231">
      <c r="A231" s="2" t="n">
        <v>230</v>
      </c>
      <c r="B231" s="2" t="inlineStr">
        <is>
          <t>DIN</t>
        </is>
      </c>
      <c r="C231" s="3" t="inlineStr">
        <is>
          <t>DIN 6918</t>
        </is>
      </c>
      <c r="D231" s="4" t="inlineStr">
        <is>
          <t>واشر گوه‌ای HV برای ناودانی (U)</t>
        </is>
      </c>
      <c r="E231" s="4" t="inlineStr">
        <is>
          <t>Square taper washers for U-sections, HV</t>
        </is>
      </c>
      <c r="F231" s="4" t="inlineStr">
        <is>
          <t>واشر</t>
        </is>
      </c>
      <c r="G231" s="2" t="n">
        <v>2</v>
      </c>
      <c r="H231" s="4" t="inlineStr">
        <is>
          <t>DIN 6918</t>
        </is>
      </c>
      <c r="I231" s="4" t="inlineStr">
        <is>
          <t>UNI 5716</t>
        </is>
      </c>
      <c r="J231" s="4" t="inlineStr">
        <is>
          <t>M12 – M36×37×38</t>
        </is>
      </c>
      <c r="K231" s="2" t="n">
        <v>12</v>
      </c>
      <c r="L231" s="4" t="inlineStr">
        <is>
          <t>فولاد 10.9 HV (سازه‌ای)</t>
        </is>
      </c>
      <c r="M231" s="4" t="inlineStr">
        <is>
          <t>واشر ریلی، واشر شیب‌دار مربعی مخصوص اتصالات سازه‌ای HV روی بال ناودانی(شیب 14%)</t>
        </is>
      </c>
      <c r="N231" s="2" t="n">
        <v>12</v>
      </c>
      <c r="O231" s="2" t="inlineStr">
        <is>
          <t>دارد</t>
        </is>
      </c>
      <c r="P231" s="2" t="inlineStr">
        <is>
          <t>دارد</t>
        </is>
      </c>
      <c r="Q231" s="2" t="inlineStr">
        <is>
          <t>دارد</t>
        </is>
      </c>
    </row>
    <row r="232">
      <c r="A232" s="2" t="n">
        <v>231</v>
      </c>
      <c r="B232" s="2" t="inlineStr">
        <is>
          <t>DIN</t>
        </is>
      </c>
      <c r="C232" s="3" t="inlineStr">
        <is>
          <t>DIN 6921</t>
        </is>
      </c>
      <c r="D232" s="4" t="inlineStr">
        <is>
          <t>پیچ سر شش‌گوش فلنج‌دار</t>
        </is>
      </c>
      <c r="E232" s="4" t="inlineStr">
        <is>
          <t>Hexagon flange bolts metric</t>
        </is>
      </c>
      <c r="F232" s="4" t="inlineStr">
        <is>
          <t>پیچ شش‌گوش</t>
        </is>
      </c>
      <c r="G232" s="2" t="n">
        <v>1</v>
      </c>
      <c r="H232" s="4" t="inlineStr">
        <is>
          <t>DIN EN 1665</t>
        </is>
      </c>
      <c r="I232" s="4" t="inlineStr"/>
      <c r="J232" s="4" t="inlineStr">
        <is>
          <t>M5 – M20X1.5</t>
        </is>
      </c>
      <c r="K232" s="2" t="n">
        <v>16</v>
      </c>
      <c r="L232" s="4" t="inlineStr">
        <is>
          <t>فولاد 8.8، فولاد 10.9، فولاد 12.9، استیل A2-70، استیل A4-70، سوپرآلیاژها و گریدهای نسوز</t>
        </is>
      </c>
      <c r="M232" s="4" t="inlineStr">
        <is>
          <t>پیچ سر شش‌گوش واشردار</t>
        </is>
      </c>
      <c r="N232" s="2" t="n">
        <v>236</v>
      </c>
      <c r="O232" s="2" t="inlineStr">
        <is>
          <t>دارد</t>
        </is>
      </c>
      <c r="P232" s="2" t="inlineStr">
        <is>
          <t>دارد</t>
        </is>
      </c>
      <c r="Q232" s="2" t="inlineStr">
        <is>
          <t>دارد</t>
        </is>
      </c>
    </row>
    <row r="233">
      <c r="A233" s="2" t="n">
        <v>232</v>
      </c>
      <c r="B233" s="2" t="inlineStr">
        <is>
          <t>DIN</t>
        </is>
      </c>
      <c r="C233" s="3" t="inlineStr">
        <is>
          <t>DIN 6923</t>
        </is>
      </c>
      <c r="D233" s="4" t="inlineStr">
        <is>
          <t>مهره شش‌گوش فلنج‌دار</t>
        </is>
      </c>
      <c r="E233" s="4" t="inlineStr">
        <is>
          <t>Hexagon nuts with flange</t>
        </is>
      </c>
      <c r="F233" s="4" t="inlineStr">
        <is>
          <t>مهره</t>
        </is>
      </c>
      <c r="G233" s="2" t="n">
        <v>1</v>
      </c>
      <c r="H233" s="4" t="inlineStr">
        <is>
          <t>DIN EN 1661</t>
        </is>
      </c>
      <c r="I233" s="4" t="inlineStr">
        <is>
          <t>ISO 4161، EU 1661</t>
        </is>
      </c>
      <c r="J233" s="4" t="inlineStr">
        <is>
          <t>M5 – M20X1.5</t>
        </is>
      </c>
      <c r="K233" s="2" t="n">
        <v>15</v>
      </c>
      <c r="L233" s="4" t="inlineStr">
        <is>
          <t>کلاس 8، کلاس 10، استیل A2-70، استیل A4-70</t>
        </is>
      </c>
      <c r="M233" s="4" t="inlineStr">
        <is>
          <t>مهره واشردار</t>
        </is>
      </c>
      <c r="N233" s="2" t="n">
        <v>15</v>
      </c>
      <c r="O233" s="2" t="inlineStr">
        <is>
          <t>دارد</t>
        </is>
      </c>
      <c r="P233" s="2" t="inlineStr">
        <is>
          <t>دارد</t>
        </is>
      </c>
      <c r="Q233" s="2" t="inlineStr">
        <is>
          <t>دارد</t>
        </is>
      </c>
    </row>
    <row r="234">
      <c r="A234" s="2" t="n">
        <v>233</v>
      </c>
      <c r="B234" s="2" t="inlineStr">
        <is>
          <t>DIN</t>
        </is>
      </c>
      <c r="C234" s="3" t="inlineStr">
        <is>
          <t>DIN 6924</t>
        </is>
      </c>
      <c r="D234" s="4" t="inlineStr">
        <is>
          <t>مهره قفلی نایلونی بلند</t>
        </is>
      </c>
      <c r="E234" s="4" t="inlineStr">
        <is>
          <t>Prevailing torque hexagon nuts, non-metallic insert</t>
        </is>
      </c>
      <c r="F234" s="4" t="inlineStr">
        <is>
          <t>مهره قفلی</t>
        </is>
      </c>
      <c r="G234" s="2" t="n">
        <v>2</v>
      </c>
      <c r="H234" s="4" t="inlineStr">
        <is>
          <t>DIN EN ISO 7040</t>
        </is>
      </c>
      <c r="I234" s="4" t="inlineStr"/>
      <c r="J234" s="4" t="inlineStr">
        <is>
          <t>M3 – M48</t>
        </is>
      </c>
      <c r="K234" s="2" t="n">
        <v>22</v>
      </c>
      <c r="L234" s="4" t="inlineStr">
        <is>
          <t>کلاس 8، کلاس 10، استیل A2-70، استیل A4-70</t>
        </is>
      </c>
      <c r="M234" s="4" t="inlineStr">
        <is>
          <t>مهره قفلی بلند تمام فلزی</t>
        </is>
      </c>
      <c r="N234" s="2" t="n">
        <v>22</v>
      </c>
      <c r="O234" s="2" t="inlineStr">
        <is>
          <t>دارد</t>
        </is>
      </c>
      <c r="P234" s="2" t="inlineStr">
        <is>
          <t>دارد</t>
        </is>
      </c>
      <c r="Q234" s="2" t="inlineStr">
        <is>
          <t>دارد</t>
        </is>
      </c>
    </row>
    <row r="235">
      <c r="A235" s="2" t="n">
        <v>234</v>
      </c>
      <c r="B235" s="2" t="inlineStr">
        <is>
          <t>DIN</t>
        </is>
      </c>
      <c r="C235" s="3" t="inlineStr">
        <is>
          <t>DIN 6925</t>
        </is>
      </c>
      <c r="D235" s="4" t="inlineStr">
        <is>
          <t>مهره قفلی تمام فلزی بلند</t>
        </is>
      </c>
      <c r="E235" s="4" t="inlineStr">
        <is>
          <t>Prevailing torque hexagon nuts, all-metal</t>
        </is>
      </c>
      <c r="F235" s="4" t="inlineStr">
        <is>
          <t>مهره قفلی</t>
        </is>
      </c>
      <c r="G235" s="2" t="n">
        <v>2</v>
      </c>
      <c r="H235" s="4" t="inlineStr">
        <is>
          <t>DIN EN ISO 7042</t>
        </is>
      </c>
      <c r="I235" s="4" t="inlineStr"/>
      <c r="J235" s="4" t="inlineStr">
        <is>
          <t>M3 – M36</t>
        </is>
      </c>
      <c r="K235" s="2" t="n">
        <v>14</v>
      </c>
      <c r="L235" s="4" t="inlineStr">
        <is>
          <t>کلاس 8، کلاس 10، استیل A2-70، استیل A4-70</t>
        </is>
      </c>
      <c r="M235" s="4" t="inlineStr">
        <is>
          <t>مهره قفلی بلند تمام فلزی</t>
        </is>
      </c>
      <c r="N235" s="2" t="n">
        <v>14</v>
      </c>
      <c r="O235" s="2" t="inlineStr">
        <is>
          <t>دارد</t>
        </is>
      </c>
      <c r="P235" s="2" t="inlineStr">
        <is>
          <t>دارد</t>
        </is>
      </c>
      <c r="Q235" s="2" t="inlineStr">
        <is>
          <t>دارد</t>
        </is>
      </c>
    </row>
    <row r="236">
      <c r="A236" s="2" t="n">
        <v>235</v>
      </c>
      <c r="B236" s="2" t="inlineStr">
        <is>
          <t>DIN</t>
        </is>
      </c>
      <c r="C236" s="3" t="inlineStr">
        <is>
          <t>DIN 6926</t>
        </is>
      </c>
      <c r="D236" s="4" t="inlineStr">
        <is>
          <t>مهره قفلی فلنج‌دار نایلونی</t>
        </is>
      </c>
      <c r="E236" s="4" t="inlineStr">
        <is>
          <t>Prevailing torque hexagon flange nuts, non-metallic insert</t>
        </is>
      </c>
      <c r="F236" s="4" t="inlineStr">
        <is>
          <t>مهره قفلی</t>
        </is>
      </c>
      <c r="G236" s="2" t="n">
        <v>2</v>
      </c>
      <c r="H236" s="4" t="inlineStr">
        <is>
          <t>DIN EN ISO 1993</t>
        </is>
      </c>
      <c r="I236" s="4" t="inlineStr"/>
      <c r="J236" s="4" t="inlineStr">
        <is>
          <t>M5 – M20X1.5</t>
        </is>
      </c>
      <c r="K236" s="2" t="n">
        <v>16</v>
      </c>
      <c r="L236" s="4" t="inlineStr">
        <is>
          <t>کلاس 8، کلاس 10، استیل A2-70، استیل A4-70</t>
        </is>
      </c>
      <c r="M236" s="4" t="inlineStr">
        <is>
          <t>مهره قفلی کاسه نمدی واشردار</t>
        </is>
      </c>
      <c r="N236" s="2" t="n">
        <v>16</v>
      </c>
      <c r="O236" s="2" t="inlineStr">
        <is>
          <t>دارد</t>
        </is>
      </c>
      <c r="P236" s="2" t="inlineStr">
        <is>
          <t>دارد</t>
        </is>
      </c>
      <c r="Q236" s="2" t="inlineStr">
        <is>
          <t>دارد</t>
        </is>
      </c>
    </row>
    <row r="237">
      <c r="A237" s="2" t="n">
        <v>236</v>
      </c>
      <c r="B237" s="2" t="inlineStr">
        <is>
          <t>DIN</t>
        </is>
      </c>
      <c r="C237" s="3" t="inlineStr">
        <is>
          <t>DIN 6927</t>
        </is>
      </c>
      <c r="D237" s="4" t="inlineStr">
        <is>
          <t>مهره قفلی فلنج‌دار تمام فلزی</t>
        </is>
      </c>
      <c r="E237" s="4" t="inlineStr">
        <is>
          <t>Prevailing torque hexagon flange nuts, all-metal</t>
        </is>
      </c>
      <c r="F237" s="4" t="inlineStr">
        <is>
          <t>مهره قفلی</t>
        </is>
      </c>
      <c r="G237" s="2" t="n">
        <v>2</v>
      </c>
      <c r="H237" s="4" t="inlineStr">
        <is>
          <t>DIN EN 1664, 1667</t>
        </is>
      </c>
      <c r="I237" s="4" t="inlineStr">
        <is>
          <t>UNI 7044</t>
        </is>
      </c>
      <c r="J237" s="4" t="inlineStr">
        <is>
          <t>M5 – M20X1.5</t>
        </is>
      </c>
      <c r="K237" s="2" t="n">
        <v>15</v>
      </c>
      <c r="L237" s="4" t="inlineStr">
        <is>
          <t>کلاس 8، کلاس 10، استیل A2-70، استیل A4-70</t>
        </is>
      </c>
      <c r="M237" s="4" t="inlineStr">
        <is>
          <t>مهره قفلی تمام فلزی واشردار</t>
        </is>
      </c>
      <c r="N237" s="2" t="n">
        <v>15</v>
      </c>
      <c r="O237" s="2" t="inlineStr">
        <is>
          <t>دارد</t>
        </is>
      </c>
      <c r="P237" s="2" t="inlineStr">
        <is>
          <t>دارد</t>
        </is>
      </c>
      <c r="Q237" s="2" t="inlineStr">
        <is>
          <t>دارد</t>
        </is>
      </c>
    </row>
    <row r="238">
      <c r="A238" s="2" t="n">
        <v>237</v>
      </c>
      <c r="B238" s="2" t="inlineStr">
        <is>
          <t>DIN</t>
        </is>
      </c>
      <c r="C238" s="3" t="inlineStr">
        <is>
          <t>DIN 7337</t>
        </is>
      </c>
      <c r="D238" s="4" t="inlineStr">
        <is>
          <t>پرچ پاپ (پرچ کور)</t>
        </is>
      </c>
      <c r="E238" s="4" t="inlineStr">
        <is>
          <t>Blind rivets with break pull mandrel</t>
        </is>
      </c>
      <c r="F238" s="4" t="inlineStr">
        <is>
          <t>پرچ</t>
        </is>
      </c>
      <c r="G238" s="2" t="n">
        <v>1</v>
      </c>
      <c r="H238" s="4" t="inlineStr">
        <is>
          <t>DIN EN ISO 14589</t>
        </is>
      </c>
      <c r="I238" s="4" t="inlineStr">
        <is>
          <t>ISO 15983، CSN 022391، UNI 9200</t>
        </is>
      </c>
      <c r="J238" s="4" t="inlineStr">
        <is>
          <t>3 – 5</t>
        </is>
      </c>
      <c r="K238" s="2" t="n">
        <v>5</v>
      </c>
      <c r="L238" s="4" t="inlineStr">
        <is>
          <t>استیل (فولاد ضدزنگ)، آلومینیوم</t>
        </is>
      </c>
      <c r="M238" s="4" t="inlineStr"/>
      <c r="N238" s="2" t="n">
        <v>30</v>
      </c>
      <c r="O238" s="2" t="inlineStr">
        <is>
          <t>دارد</t>
        </is>
      </c>
      <c r="P238" s="2" t="inlineStr">
        <is>
          <t>دارد</t>
        </is>
      </c>
      <c r="Q238" s="2" t="inlineStr">
        <is>
          <t>دارد</t>
        </is>
      </c>
    </row>
    <row r="239">
      <c r="A239" s="2" t="n">
        <v>238</v>
      </c>
      <c r="B239" s="2" t="inlineStr">
        <is>
          <t>DIN</t>
        </is>
      </c>
      <c r="C239" s="3" t="inlineStr">
        <is>
          <t>DIN 7338</t>
        </is>
      </c>
      <c r="D239" s="4" t="inlineStr">
        <is>
          <t>پرچ لنت ترمز و کلاچ</t>
        </is>
      </c>
      <c r="E239" s="4" t="inlineStr">
        <is>
          <t>Rivets for brake linings and clutch linings</t>
        </is>
      </c>
      <c r="F239" s="4" t="inlineStr">
        <is>
          <t>پرچ</t>
        </is>
      </c>
      <c r="G239" s="2" t="n">
        <v>3</v>
      </c>
      <c r="H239" s="4" t="inlineStr">
        <is>
          <t>DIN 7338</t>
        </is>
      </c>
      <c r="I239" s="4" t="inlineStr">
        <is>
          <t>PN 82976</t>
        </is>
      </c>
      <c r="J239" s="4" t="inlineStr">
        <is>
          <t>3 – 10</t>
        </is>
      </c>
      <c r="K239" s="2" t="n">
        <v>6</v>
      </c>
      <c r="L239" s="4" t="inlineStr">
        <is>
          <t>فولاد، برنج، مس، آلومینیوم</t>
        </is>
      </c>
      <c r="M239" s="4" t="inlineStr"/>
      <c r="N239" s="2" t="n">
        <v>53</v>
      </c>
      <c r="O239" s="2" t="inlineStr">
        <is>
          <t>دارد</t>
        </is>
      </c>
      <c r="P239" s="2" t="inlineStr">
        <is>
          <t>دارد</t>
        </is>
      </c>
      <c r="Q239" s="2" t="inlineStr">
        <is>
          <t>دارد</t>
        </is>
      </c>
    </row>
    <row r="240">
      <c r="A240" s="2" t="n">
        <v>239</v>
      </c>
      <c r="B240" s="2" t="inlineStr">
        <is>
          <t>DIN</t>
        </is>
      </c>
      <c r="C240" s="3" t="inlineStr">
        <is>
          <t>DIN 7340</t>
        </is>
      </c>
      <c r="D240" s="4" t="inlineStr">
        <is>
          <t>پرچ توخالی</t>
        </is>
      </c>
      <c r="E240" s="4" t="inlineStr">
        <is>
          <t>Tubular rivets</t>
        </is>
      </c>
      <c r="F240" s="4" t="inlineStr">
        <is>
          <t>پرچ</t>
        </is>
      </c>
      <c r="G240" s="2" t="n">
        <v>3</v>
      </c>
      <c r="H240" s="4" t="inlineStr"/>
      <c r="I240" s="4" t="inlineStr">
        <is>
          <t>CSN 022380، PN 82972</t>
        </is>
      </c>
      <c r="J240" s="4" t="inlineStr">
        <is>
          <t>1 – 10</t>
        </is>
      </c>
      <c r="K240" s="2" t="n">
        <v>11</v>
      </c>
      <c r="L240" s="4" t="inlineStr">
        <is>
          <t>فولاد، برنج، مس، آلومینیوم</t>
        </is>
      </c>
      <c r="M240" s="4" t="inlineStr"/>
      <c r="N240" s="2" t="n">
        <v>203</v>
      </c>
      <c r="O240" s="2" t="inlineStr">
        <is>
          <t>دارد</t>
        </is>
      </c>
      <c r="P240" s="2" t="inlineStr">
        <is>
          <t>دارد</t>
        </is>
      </c>
      <c r="Q240" s="2" t="inlineStr">
        <is>
          <t>دارد</t>
        </is>
      </c>
    </row>
    <row r="241">
      <c r="A241" s="2" t="n">
        <v>240</v>
      </c>
      <c r="B241" s="2" t="inlineStr">
        <is>
          <t>DIN</t>
        </is>
      </c>
      <c r="C241" s="3" t="inlineStr">
        <is>
          <t>DIN 7343</t>
        </is>
      </c>
      <c r="D241" s="4" t="inlineStr">
        <is>
          <t>پین فنری مارپیچ معمولی</t>
        </is>
      </c>
      <c r="E241" s="4" t="inlineStr">
        <is>
          <t>Spiral spring pins, standard duty</t>
        </is>
      </c>
      <c r="F241" s="4" t="inlineStr">
        <is>
          <t>پین</t>
        </is>
      </c>
      <c r="G241" s="2" t="n">
        <v>3</v>
      </c>
      <c r="H241" s="4" t="inlineStr">
        <is>
          <t>DIN EN 8750</t>
        </is>
      </c>
      <c r="I241" s="4" t="inlineStr">
        <is>
          <t>ISO 8750، CSN 022162، PN 85029، UNI 6875، EU 28750</t>
        </is>
      </c>
      <c r="J241" s="4" t="inlineStr">
        <is>
          <t>0.8 – 20</t>
        </is>
      </c>
      <c r="K241" s="2" t="n">
        <v>17</v>
      </c>
      <c r="L241" s="4" t="inlineStr">
        <is>
          <t>فولاد فنری سخت‌کاری‌شده، استیل فنری 1.4310، 1.4021</t>
        </is>
      </c>
      <c r="M241" s="4" t="inlineStr">
        <is>
          <t>رول پین حلزونی</t>
        </is>
      </c>
      <c r="N241" s="2" t="n">
        <v>292</v>
      </c>
      <c r="O241" s="2" t="inlineStr">
        <is>
          <t>دارد</t>
        </is>
      </c>
      <c r="P241" s="2" t="inlineStr">
        <is>
          <t>دارد</t>
        </is>
      </c>
      <c r="Q241" s="2" t="inlineStr">
        <is>
          <t>دارد</t>
        </is>
      </c>
    </row>
    <row r="242">
      <c r="A242" s="2" t="n">
        <v>241</v>
      </c>
      <c r="B242" s="2" t="inlineStr">
        <is>
          <t>DIN</t>
        </is>
      </c>
      <c r="C242" s="3" t="inlineStr">
        <is>
          <t>DIN 7344</t>
        </is>
      </c>
      <c r="D242" s="4" t="inlineStr">
        <is>
          <t>پین فنری مارپیچ سنگین</t>
        </is>
      </c>
      <c r="E242" s="4" t="inlineStr">
        <is>
          <t>Spiral spring pins, heavy duty</t>
        </is>
      </c>
      <c r="F242" s="4" t="inlineStr">
        <is>
          <t>پین</t>
        </is>
      </c>
      <c r="G242" s="2" t="n">
        <v>3</v>
      </c>
      <c r="H242" s="4" t="inlineStr">
        <is>
          <t>DIN ISO 8748</t>
        </is>
      </c>
      <c r="I242" s="4" t="inlineStr">
        <is>
          <t>ISO 8748، CSN 022163، UNI 6876</t>
        </is>
      </c>
      <c r="J242" s="4" t="inlineStr">
        <is>
          <t>1.5 – 20</t>
        </is>
      </c>
      <c r="K242" s="2" t="n">
        <v>14</v>
      </c>
      <c r="L242" s="4" t="inlineStr">
        <is>
          <t>فولاد فنری سخت‌کاری‌شده، استیل فنری 1.4310، 1.4021</t>
        </is>
      </c>
      <c r="M242" s="4" t="inlineStr">
        <is>
          <t>رول پین حلزونی تقویت شده</t>
        </is>
      </c>
      <c r="N242" s="2" t="n">
        <v>270</v>
      </c>
      <c r="O242" s="2" t="inlineStr">
        <is>
          <t>دارد</t>
        </is>
      </c>
      <c r="P242" s="2" t="inlineStr">
        <is>
          <t>دارد</t>
        </is>
      </c>
      <c r="Q242" s="2" t="inlineStr">
        <is>
          <t>دارد</t>
        </is>
      </c>
    </row>
    <row r="243">
      <c r="A243" s="2" t="n">
        <v>242</v>
      </c>
      <c r="B243" s="2" t="inlineStr">
        <is>
          <t>DIN</t>
        </is>
      </c>
      <c r="C243" s="3" t="inlineStr">
        <is>
          <t>DIN 7346</t>
        </is>
      </c>
      <c r="D243" s="4" t="inlineStr">
        <is>
          <t>پین فنری (رول پین) سبک</t>
        </is>
      </c>
      <c r="E243" s="4" t="inlineStr">
        <is>
          <t>Spring pins (roll pins), light duty</t>
        </is>
      </c>
      <c r="F243" s="4" t="inlineStr">
        <is>
          <t>پین</t>
        </is>
      </c>
      <c r="G243" s="2" t="n">
        <v>3</v>
      </c>
      <c r="H243" s="4" t="inlineStr">
        <is>
          <t>DIN EN ISO 13337</t>
        </is>
      </c>
      <c r="I243" s="4" t="inlineStr">
        <is>
          <t>ISO 8752، CSN 022156، UNI 6874</t>
        </is>
      </c>
      <c r="J243" s="4" t="inlineStr">
        <is>
          <t>2 – 50</t>
        </is>
      </c>
      <c r="K243" s="2" t="n">
        <v>27</v>
      </c>
      <c r="L243" s="4" t="inlineStr">
        <is>
          <t>فولاد فنری سخت‌کاری‌شده، استیل فنری 1.4310، استیل A2</t>
        </is>
      </c>
      <c r="M243" s="4" t="inlineStr">
        <is>
          <t>پین چاکدار سبک</t>
        </is>
      </c>
      <c r="N243" s="2" t="n">
        <v>701</v>
      </c>
      <c r="O243" s="2" t="inlineStr">
        <is>
          <t>دارد</t>
        </is>
      </c>
      <c r="P243" s="2" t="inlineStr">
        <is>
          <t>دارد</t>
        </is>
      </c>
      <c r="Q243" s="2" t="inlineStr">
        <is>
          <t>دارد</t>
        </is>
      </c>
    </row>
    <row r="244">
      <c r="A244" s="2" t="n">
        <v>243</v>
      </c>
      <c r="B244" s="2" t="inlineStr">
        <is>
          <t>DIN</t>
        </is>
      </c>
      <c r="C244" s="3" t="inlineStr">
        <is>
          <t>DIN 7349</t>
        </is>
      </c>
      <c r="D244" s="4" t="inlineStr">
        <is>
          <t>واشر پیچ با بوش فنری سنگین</t>
        </is>
      </c>
      <c r="E244" s="4" t="inlineStr">
        <is>
          <t>Washers for bolts with heavy clamping sleeves</t>
        </is>
      </c>
      <c r="F244" s="4" t="inlineStr">
        <is>
          <t>واشر</t>
        </is>
      </c>
      <c r="G244" s="2" t="n">
        <v>2</v>
      </c>
      <c r="H244" s="4" t="inlineStr">
        <is>
          <t>DIN 7349</t>
        </is>
      </c>
      <c r="I244" s="4" t="inlineStr">
        <is>
          <t>CSN 021708</t>
        </is>
      </c>
      <c r="J244" s="4" t="inlineStr">
        <is>
          <t>M3 – M30</t>
        </is>
      </c>
      <c r="K244" s="2" t="n">
        <v>15</v>
      </c>
      <c r="L244" s="4" t="inlineStr">
        <is>
          <t>فولاد کربنی، استیل A2، استیل A4</t>
        </is>
      </c>
      <c r="M244" s="4" t="inlineStr">
        <is>
          <t>واشر تخت ضخیم مخصوص پیچهای پین‌دار و پیچهای با ساقه دقیق، واشر ضخیم صنعتی</t>
        </is>
      </c>
      <c r="N244" s="2" t="n">
        <v>15</v>
      </c>
      <c r="O244" s="2" t="inlineStr">
        <is>
          <t>دارد</t>
        </is>
      </c>
      <c r="P244" s="2" t="inlineStr">
        <is>
          <t>دارد</t>
        </is>
      </c>
      <c r="Q244" s="2" t="inlineStr">
        <is>
          <t>دارد</t>
        </is>
      </c>
    </row>
    <row r="245">
      <c r="A245" s="2" t="n">
        <v>244</v>
      </c>
      <c r="B245" s="2" t="inlineStr">
        <is>
          <t>DIN</t>
        </is>
      </c>
      <c r="C245" s="3" t="inlineStr">
        <is>
          <t>DIN 7500 C</t>
        </is>
      </c>
      <c r="D245" s="4" t="inlineStr">
        <is>
          <t>پیچ رزوه‌ساز چهارسو سر عدسی</t>
        </is>
      </c>
      <c r="E245" s="4" t="inlineStr">
        <is>
          <t>Thread-forming screws, raised cheese head, cross recess</t>
        </is>
      </c>
      <c r="F245" s="4" t="inlineStr">
        <is>
          <t>پیچ خودکار، سرمته و چوب</t>
        </is>
      </c>
      <c r="G245" s="2" t="n">
        <v>3</v>
      </c>
      <c r="H245" s="4" t="inlineStr"/>
      <c r="I245" s="4" t="inlineStr">
        <is>
          <t>ISO 15480، CSN 021223</t>
        </is>
      </c>
      <c r="J245" s="4" t="inlineStr">
        <is>
          <t>M2 – M8</t>
        </is>
      </c>
      <c r="K245" s="2" t="n">
        <v>7</v>
      </c>
      <c r="L245" s="4" t="inlineStr">
        <is>
          <t>فولاد، استیل A2، استیل A4</t>
        </is>
      </c>
      <c r="M245" s="4" t="inlineStr">
        <is>
          <t>پیچ قلاویزی سر عدسی چهارسو</t>
        </is>
      </c>
      <c r="N245" s="2" t="n">
        <v>0</v>
      </c>
      <c r="O245" s="2" t="inlineStr">
        <is>
          <t>دارد</t>
        </is>
      </c>
      <c r="P245" s="2" t="inlineStr">
        <is>
          <t>دارد</t>
        </is>
      </c>
      <c r="Q245" s="2" t="inlineStr">
        <is>
          <t>دارد</t>
        </is>
      </c>
    </row>
    <row r="246">
      <c r="A246" s="2" t="n">
        <v>245</v>
      </c>
      <c r="B246" s="2" t="inlineStr">
        <is>
          <t>DIN</t>
        </is>
      </c>
      <c r="C246" s="3" t="inlineStr">
        <is>
          <t>DIN 7500 CTX</t>
        </is>
      </c>
      <c r="D246" s="4" t="inlineStr">
        <is>
          <t>پیچ رزوه‌ساز تورکس سر عدسی</t>
        </is>
      </c>
      <c r="E246" s="4" t="inlineStr">
        <is>
          <t>Thread-forming screws, raised cheese head, TORX</t>
        </is>
      </c>
      <c r="F246" s="4" t="inlineStr">
        <is>
          <t>پیچ خودکار، سرمته و چوب</t>
        </is>
      </c>
      <c r="G246" s="2" t="n">
        <v>3</v>
      </c>
      <c r="H246" s="4" t="inlineStr"/>
      <c r="I246" s="4" t="inlineStr">
        <is>
          <t>ISO 15480، CSN 021223</t>
        </is>
      </c>
      <c r="J246" s="4" t="inlineStr">
        <is>
          <t>M2.5 – M6</t>
        </is>
      </c>
      <c r="K246" s="2" t="n">
        <v>5</v>
      </c>
      <c r="L246" s="4" t="inlineStr">
        <is>
          <t>فولاد، استیل A2، استیل A4</t>
        </is>
      </c>
      <c r="M246" s="4" t="inlineStr">
        <is>
          <t>پیچ قلاویزی سر عدسی آلن ستاره‌ای</t>
        </is>
      </c>
      <c r="N246" s="2" t="n">
        <v>0</v>
      </c>
      <c r="O246" s="2" t="inlineStr">
        <is>
          <t>دارد</t>
        </is>
      </c>
      <c r="P246" s="2" t="inlineStr">
        <is>
          <t>دارد</t>
        </is>
      </c>
      <c r="Q246" s="2" t="inlineStr">
        <is>
          <t>دارد</t>
        </is>
      </c>
    </row>
    <row r="247">
      <c r="A247" s="2" t="n">
        <v>246</v>
      </c>
      <c r="B247" s="2" t="inlineStr">
        <is>
          <t>DIN</t>
        </is>
      </c>
      <c r="C247" s="3" t="inlineStr">
        <is>
          <t>DIN 7500 D</t>
        </is>
      </c>
      <c r="D247" s="4" t="inlineStr">
        <is>
          <t>پیچ رزوه‌ساز سرشش‌گوش فلنجی</t>
        </is>
      </c>
      <c r="E247" s="4" t="inlineStr">
        <is>
          <t>Thread-forming screws, cheese head</t>
        </is>
      </c>
      <c r="F247" s="4" t="inlineStr">
        <is>
          <t>پیچ خودکار، سرمته و چوب</t>
        </is>
      </c>
      <c r="G247" s="2" t="n">
        <v>3</v>
      </c>
      <c r="H247" s="4" t="inlineStr"/>
      <c r="I247" s="4" t="inlineStr">
        <is>
          <t>ISO 15480، CSN 021223</t>
        </is>
      </c>
      <c r="J247" s="4" t="inlineStr">
        <is>
          <t>M4 – M10</t>
        </is>
      </c>
      <c r="K247" s="2" t="n">
        <v>5</v>
      </c>
      <c r="L247" s="4" t="inlineStr">
        <is>
          <t>فولاد، استیل A2، استیل A4</t>
        </is>
      </c>
      <c r="M247" s="4" t="inlineStr">
        <is>
          <t>پیچ قلاویزی سرشش‌گوش واشردار</t>
        </is>
      </c>
      <c r="N247" s="2" t="n">
        <v>16</v>
      </c>
      <c r="O247" s="2" t="inlineStr">
        <is>
          <t>دارد</t>
        </is>
      </c>
      <c r="P247" s="2" t="inlineStr">
        <is>
          <t>دارد</t>
        </is>
      </c>
      <c r="Q247" s="2" t="inlineStr">
        <is>
          <t>دارد</t>
        </is>
      </c>
    </row>
    <row r="248">
      <c r="A248" s="2" t="n">
        <v>247</v>
      </c>
      <c r="B248" s="2" t="inlineStr">
        <is>
          <t>DIN</t>
        </is>
      </c>
      <c r="C248" s="3" t="inlineStr">
        <is>
          <t>DIN 7500 E</t>
        </is>
      </c>
      <c r="D248" s="4" t="inlineStr">
        <is>
          <t>پیچ رزوه‌ساز سر استوانه آلن‌خور</t>
        </is>
      </c>
      <c r="E248" s="4" t="inlineStr">
        <is>
          <t>Thread-forming screws, hexagon head</t>
        </is>
      </c>
      <c r="F248" s="4" t="inlineStr">
        <is>
          <t>پیچ خودکار، سرمته و چوب</t>
        </is>
      </c>
      <c r="G248" s="2" t="n">
        <v>3</v>
      </c>
      <c r="H248" s="4" t="inlineStr"/>
      <c r="I248" s="4" t="inlineStr">
        <is>
          <t>ISO 15480، CSN 021223</t>
        </is>
      </c>
      <c r="J248" s="4" t="inlineStr">
        <is>
          <t>M2 – M10</t>
        </is>
      </c>
      <c r="K248" s="2" t="n">
        <v>8</v>
      </c>
      <c r="L248" s="4" t="inlineStr">
        <is>
          <t>فولاد، استیل A2، استیل A4</t>
        </is>
      </c>
      <c r="M248" s="4" t="inlineStr">
        <is>
          <t>پیچ قلاویزی سر استوانه آلن‌خور</t>
        </is>
      </c>
      <c r="N248" s="2" t="n">
        <v>0</v>
      </c>
      <c r="O248" s="2" t="inlineStr">
        <is>
          <t>دارد</t>
        </is>
      </c>
      <c r="P248" s="2" t="inlineStr">
        <is>
          <t>دارد</t>
        </is>
      </c>
      <c r="Q248" s="2" t="inlineStr">
        <is>
          <t>دارد</t>
        </is>
      </c>
    </row>
    <row r="249">
      <c r="A249" s="2" t="n">
        <v>248</v>
      </c>
      <c r="B249" s="2" t="inlineStr">
        <is>
          <t>DIN</t>
        </is>
      </c>
      <c r="C249" s="3" t="inlineStr">
        <is>
          <t>DIN 7500 M</t>
        </is>
      </c>
      <c r="D249" s="4" t="inlineStr">
        <is>
          <t>پیچ رزوه‌ساز سرخزینه چهارسو</t>
        </is>
      </c>
      <c r="E249" s="4" t="inlineStr">
        <is>
          <t>Thread-forming screws, countersunk head, cross recess</t>
        </is>
      </c>
      <c r="F249" s="4" t="inlineStr">
        <is>
          <t>پیچ خودکار، سرمته و چوب</t>
        </is>
      </c>
      <c r="G249" s="2" t="n">
        <v>3</v>
      </c>
      <c r="H249" s="4" t="inlineStr"/>
      <c r="I249" s="4" t="inlineStr">
        <is>
          <t>ISO 15480، CSN 021223</t>
        </is>
      </c>
      <c r="J249" s="4" t="inlineStr">
        <is>
          <t>M3 – M6</t>
        </is>
      </c>
      <c r="K249" s="2" t="n">
        <v>4</v>
      </c>
      <c r="L249" s="4" t="inlineStr">
        <is>
          <t>فولاد، استیل A2، استیل A4</t>
        </is>
      </c>
      <c r="M249" s="4" t="inlineStr">
        <is>
          <t>پیچ قلاویزی سر استوانه آلن‌خور</t>
        </is>
      </c>
      <c r="N249" s="2" t="n">
        <v>0</v>
      </c>
      <c r="O249" s="2" t="inlineStr">
        <is>
          <t>دارد</t>
        </is>
      </c>
      <c r="P249" s="2" t="inlineStr">
        <is>
          <t>دارد</t>
        </is>
      </c>
      <c r="Q249" s="2" t="inlineStr">
        <is>
          <t>دارد</t>
        </is>
      </c>
    </row>
    <row r="250">
      <c r="A250" s="2" t="n">
        <v>249</v>
      </c>
      <c r="B250" s="2" t="inlineStr">
        <is>
          <t>DIN</t>
        </is>
      </c>
      <c r="C250" s="3" t="inlineStr">
        <is>
          <t>DIN 7500 MTX</t>
        </is>
      </c>
      <c r="D250" s="4" t="inlineStr">
        <is>
          <t>پیچ رزوه‌ساز سرخزینه تورکس</t>
        </is>
      </c>
      <c r="E250" s="4" t="inlineStr">
        <is>
          <t>Thread-forming screws, countersunk head, TORX</t>
        </is>
      </c>
      <c r="F250" s="4" t="inlineStr">
        <is>
          <t>پیچ خودکار، سرمته و چوب</t>
        </is>
      </c>
      <c r="G250" s="2" t="n">
        <v>3</v>
      </c>
      <c r="H250" s="4" t="inlineStr"/>
      <c r="I250" s="4" t="inlineStr">
        <is>
          <t>ISO 15480، CSN 021223</t>
        </is>
      </c>
      <c r="J250" s="4" t="inlineStr">
        <is>
          <t>M3 – M6</t>
        </is>
      </c>
      <c r="K250" s="2" t="n">
        <v>4</v>
      </c>
      <c r="L250" s="4" t="inlineStr">
        <is>
          <t>فولاد، استیل A2، استیل A4</t>
        </is>
      </c>
      <c r="M250" s="4" t="inlineStr">
        <is>
          <t>پیچ قلاویزی سر خزینه آلن ستاره‌ای</t>
        </is>
      </c>
      <c r="N250" s="2" t="n">
        <v>0</v>
      </c>
      <c r="O250" s="2" t="inlineStr">
        <is>
          <t>دارد</t>
        </is>
      </c>
      <c r="P250" s="2" t="inlineStr">
        <is>
          <t>دارد</t>
        </is>
      </c>
      <c r="Q250" s="2" t="inlineStr">
        <is>
          <t>دارد</t>
        </is>
      </c>
    </row>
    <row r="251">
      <c r="A251" s="2" t="n">
        <v>250</v>
      </c>
      <c r="B251" s="2" t="inlineStr">
        <is>
          <t>DIN</t>
        </is>
      </c>
      <c r="C251" s="3" t="inlineStr">
        <is>
          <t>DIN 7504 K</t>
        </is>
      </c>
      <c r="D251" s="4" t="inlineStr">
        <is>
          <t>پیچ سرمته سر شش‌گوش واشردار</t>
        </is>
      </c>
      <c r="E251" s="4" t="inlineStr">
        <is>
          <t>Self-drilling screws, hexagon washer head</t>
        </is>
      </c>
      <c r="F251" s="4" t="inlineStr">
        <is>
          <t>پیچ خودکار، سرمته و چوب</t>
        </is>
      </c>
      <c r="G251" s="2" t="n">
        <v>1</v>
      </c>
      <c r="H251" s="4" t="inlineStr">
        <is>
          <t>ISO 15480</t>
        </is>
      </c>
      <c r="I251" s="4" t="inlineStr">
        <is>
          <t>UNI 8117 K</t>
        </is>
      </c>
      <c r="J251" s="4" t="inlineStr">
        <is>
          <t>ST3.5 – ST6.3</t>
        </is>
      </c>
      <c r="K251" s="2" t="n">
        <v>6</v>
      </c>
      <c r="L251" s="4" t="inlineStr">
        <is>
          <t>فولاد گالوانیزه، استیل A2، استیل A4</t>
        </is>
      </c>
      <c r="M251" s="4" t="inlineStr">
        <is>
          <t>پیچ نوک مته شیروانی</t>
        </is>
      </c>
      <c r="N251" s="2" t="n">
        <v>44</v>
      </c>
      <c r="O251" s="2" t="inlineStr">
        <is>
          <t>دارد</t>
        </is>
      </c>
      <c r="P251" s="2" t="inlineStr">
        <is>
          <t>دارد</t>
        </is>
      </c>
      <c r="Q251" s="2" t="inlineStr">
        <is>
          <t>دارد</t>
        </is>
      </c>
    </row>
    <row r="252">
      <c r="A252" s="2" t="n">
        <v>251</v>
      </c>
      <c r="B252" s="2" t="inlineStr">
        <is>
          <t>DIN</t>
        </is>
      </c>
      <c r="C252" s="3" t="inlineStr">
        <is>
          <t>DIN 7504 N</t>
        </is>
      </c>
      <c r="D252" s="4" t="inlineStr">
        <is>
          <t>پیچ سرمته چهارسو سر عدسی</t>
        </is>
      </c>
      <c r="E252" s="4" t="inlineStr">
        <is>
          <t>Self-drilling screws, pan head, cross recess</t>
        </is>
      </c>
      <c r="F252" s="4" t="inlineStr">
        <is>
          <t>پیچ خودکار، سرمته و چوب</t>
        </is>
      </c>
      <c r="G252" s="2" t="n">
        <v>1</v>
      </c>
      <c r="H252" s="4" t="inlineStr">
        <is>
          <t>ISO 15481</t>
        </is>
      </c>
      <c r="I252" s="4" t="inlineStr">
        <is>
          <t>UNI 8118 N</t>
        </is>
      </c>
      <c r="J252" s="4" t="inlineStr">
        <is>
          <t>ST2.9 – ST6.3</t>
        </is>
      </c>
      <c r="K252" s="2" t="n">
        <v>7</v>
      </c>
      <c r="L252" s="4" t="inlineStr">
        <is>
          <t>فولاد گالوانیزه، استیل A2، استیل A4</t>
        </is>
      </c>
      <c r="M252" s="4" t="inlineStr">
        <is>
          <t>پیچ نوک مته سر گرد چهارسو</t>
        </is>
      </c>
      <c r="N252" s="2" t="n">
        <v>48</v>
      </c>
      <c r="O252" s="2" t="inlineStr">
        <is>
          <t>دارد</t>
        </is>
      </c>
      <c r="P252" s="2" t="inlineStr">
        <is>
          <t>دارد</t>
        </is>
      </c>
      <c r="Q252" s="2" t="inlineStr">
        <is>
          <t>دارد</t>
        </is>
      </c>
    </row>
    <row r="253">
      <c r="A253" s="2" t="n">
        <v>252</v>
      </c>
      <c r="B253" s="2" t="inlineStr">
        <is>
          <t>DIN</t>
        </is>
      </c>
      <c r="C253" s="3" t="inlineStr">
        <is>
          <t>DIN 7504 NSQ</t>
        </is>
      </c>
      <c r="D253" s="4" t="inlineStr">
        <is>
          <t>پیچ سرمته چهارگوش سر عدسی</t>
        </is>
      </c>
      <c r="E253" s="4" t="inlineStr">
        <is>
          <t>Self-drilling screws, pan head, square drive</t>
        </is>
      </c>
      <c r="F253" s="4" t="inlineStr">
        <is>
          <t>پیچ خودکار، سرمته و چوب</t>
        </is>
      </c>
      <c r="G253" s="2" t="n">
        <v>3</v>
      </c>
      <c r="H253" s="4" t="inlineStr">
        <is>
          <t>ISO 15481</t>
        </is>
      </c>
      <c r="I253" s="4" t="inlineStr"/>
      <c r="J253" s="4" t="inlineStr">
        <is>
          <t>ST3.5 – ST5.5</t>
        </is>
      </c>
      <c r="K253" s="2" t="n">
        <v>5</v>
      </c>
      <c r="L253" s="4" t="inlineStr">
        <is>
          <t>فولاد گالوانیزه، استیل A2، استیل A4</t>
        </is>
      </c>
      <c r="M253" s="4" t="inlineStr">
        <is>
          <t>پیچ نوک مته سر گرد چهارگوش</t>
        </is>
      </c>
      <c r="N253" s="2" t="n">
        <v>0</v>
      </c>
      <c r="O253" s="2" t="inlineStr">
        <is>
          <t>دارد</t>
        </is>
      </c>
      <c r="P253" s="2" t="inlineStr">
        <is>
          <t>دارد</t>
        </is>
      </c>
      <c r="Q253" s="2" t="inlineStr">
        <is>
          <t>دارد</t>
        </is>
      </c>
    </row>
    <row r="254">
      <c r="A254" s="2" t="n">
        <v>253</v>
      </c>
      <c r="B254" s="2" t="inlineStr">
        <is>
          <t>DIN</t>
        </is>
      </c>
      <c r="C254" s="3" t="inlineStr">
        <is>
          <t>DIN 7504 NTX</t>
        </is>
      </c>
      <c r="D254" s="4" t="inlineStr">
        <is>
          <t>پیچ سرمته تورکس سر عدسی</t>
        </is>
      </c>
      <c r="E254" s="4" t="inlineStr">
        <is>
          <t>Self-drilling screws, pan head, TORX</t>
        </is>
      </c>
      <c r="F254" s="4" t="inlineStr">
        <is>
          <t>پیچ خودکار، سرمته و چوب</t>
        </is>
      </c>
      <c r="G254" s="2" t="n">
        <v>3</v>
      </c>
      <c r="H254" s="4" t="inlineStr">
        <is>
          <t>ISO 15481</t>
        </is>
      </c>
      <c r="I254" s="4" t="inlineStr"/>
      <c r="J254" s="4" t="inlineStr">
        <is>
          <t>2.9 – 6.3</t>
        </is>
      </c>
      <c r="K254" s="2" t="n">
        <v>7</v>
      </c>
      <c r="L254" s="4" t="inlineStr">
        <is>
          <t>فولاد گالوانیزه، استیل A2، استیل A4</t>
        </is>
      </c>
      <c r="M254" s="4" t="inlineStr">
        <is>
          <t>پیچ نوک مته سر گرد آلن ستاره‌ای</t>
        </is>
      </c>
      <c r="N254" s="2" t="n">
        <v>0</v>
      </c>
      <c r="O254" s="2" t="inlineStr">
        <is>
          <t>دارد</t>
        </is>
      </c>
      <c r="P254" s="2" t="inlineStr">
        <is>
          <t>دارد</t>
        </is>
      </c>
      <c r="Q254" s="2" t="inlineStr">
        <is>
          <t>دارد</t>
        </is>
      </c>
    </row>
    <row r="255">
      <c r="A255" s="2" t="n">
        <v>254</v>
      </c>
      <c r="B255" s="2" t="inlineStr">
        <is>
          <t>DIN</t>
        </is>
      </c>
      <c r="C255" s="3" t="inlineStr">
        <is>
          <t>DIN 7504 O</t>
        </is>
      </c>
      <c r="D255" s="4" t="inlineStr">
        <is>
          <t>پیچ سرمته چهارسو سرخزینه عدسی</t>
        </is>
      </c>
      <c r="E255" s="4" t="inlineStr">
        <is>
          <t>Self-drilling screws, raised countersunk head, cross recess</t>
        </is>
      </c>
      <c r="F255" s="4" t="inlineStr">
        <is>
          <t>پیچ خودکار، سرمته و چوب</t>
        </is>
      </c>
      <c r="G255" s="2" t="n">
        <v>1</v>
      </c>
      <c r="H255" s="4" t="inlineStr"/>
      <c r="I255" s="4" t="inlineStr"/>
      <c r="J255" s="4" t="inlineStr">
        <is>
          <t>3.9 – 6.3</t>
        </is>
      </c>
      <c r="K255" s="2" t="n">
        <v>5</v>
      </c>
      <c r="L255" s="4" t="inlineStr">
        <is>
          <t>فولاد گالوانیزه، استیل A2، استیل A4</t>
        </is>
      </c>
      <c r="M255" s="4" t="inlineStr">
        <is>
          <t>پیچ نوک مته خزینه چهارسو</t>
        </is>
      </c>
      <c r="N255" s="2" t="n">
        <v>0</v>
      </c>
      <c r="O255" s="2" t="inlineStr">
        <is>
          <t>دارد</t>
        </is>
      </c>
      <c r="P255" s="2" t="inlineStr">
        <is>
          <t>دارد</t>
        </is>
      </c>
      <c r="Q255" s="2" t="inlineStr">
        <is>
          <t>دارد</t>
        </is>
      </c>
    </row>
    <row r="256">
      <c r="A256" s="2" t="n">
        <v>255</v>
      </c>
      <c r="B256" s="2" t="inlineStr">
        <is>
          <t>DIN</t>
        </is>
      </c>
      <c r="C256" s="3" t="inlineStr">
        <is>
          <t>DIN 7504 OTX</t>
        </is>
      </c>
      <c r="D256" s="4" t="inlineStr">
        <is>
          <t>پیچ سرمته تورکس سرخزینه عدسی</t>
        </is>
      </c>
      <c r="E256" s="4" t="inlineStr">
        <is>
          <t>Self-drilling screws, raised countersunk head, TORX</t>
        </is>
      </c>
      <c r="F256" s="4" t="inlineStr">
        <is>
          <t>پیچ خودکار، سرمته و چوب</t>
        </is>
      </c>
      <c r="G256" s="2" t="n">
        <v>3</v>
      </c>
      <c r="H256" s="4" t="inlineStr"/>
      <c r="I256" s="4" t="inlineStr"/>
      <c r="J256" s="4" t="inlineStr">
        <is>
          <t>3.9 – 6.3</t>
        </is>
      </c>
      <c r="K256" s="2" t="n">
        <v>5</v>
      </c>
      <c r="L256" s="4" t="inlineStr">
        <is>
          <t>فولاد گالوانیزه، استیل A2، استیل A4</t>
        </is>
      </c>
      <c r="M256" s="4" t="inlineStr">
        <is>
          <t>پیچ نوک مته خزینه آلن ستاره‌ای</t>
        </is>
      </c>
      <c r="N256" s="2" t="n">
        <v>0</v>
      </c>
      <c r="O256" s="2" t="inlineStr">
        <is>
          <t>دارد</t>
        </is>
      </c>
      <c r="P256" s="2" t="inlineStr">
        <is>
          <t>دارد</t>
        </is>
      </c>
      <c r="Q256" s="2" t="inlineStr">
        <is>
          <t>دارد</t>
        </is>
      </c>
    </row>
    <row r="257">
      <c r="A257" s="2" t="n">
        <v>256</v>
      </c>
      <c r="B257" s="2" t="inlineStr">
        <is>
          <t>DIN</t>
        </is>
      </c>
      <c r="C257" s="3" t="inlineStr">
        <is>
          <t>DIN 7504 P</t>
        </is>
      </c>
      <c r="D257" s="4" t="inlineStr">
        <is>
          <t>پیچ سرمته چهارسو سرخزینه</t>
        </is>
      </c>
      <c r="E257" s="4" t="inlineStr">
        <is>
          <t>Self-drilling screws, countersunk head, cross recess</t>
        </is>
      </c>
      <c r="F257" s="4" t="inlineStr">
        <is>
          <t>پیچ خودکار، سرمته و چوب</t>
        </is>
      </c>
      <c r="G257" s="2" t="n">
        <v>1</v>
      </c>
      <c r="H257" s="4" t="inlineStr">
        <is>
          <t>ISO 15482</t>
        </is>
      </c>
      <c r="I257" s="4" t="inlineStr">
        <is>
          <t>UNI 8119 P</t>
        </is>
      </c>
      <c r="J257" s="4" t="inlineStr">
        <is>
          <t>ST2.9 – ST6.3</t>
        </is>
      </c>
      <c r="K257" s="2" t="n">
        <v>7</v>
      </c>
      <c r="L257" s="4" t="inlineStr">
        <is>
          <t>فولاد گالوانیزه، استیل A2، استیل A4</t>
        </is>
      </c>
      <c r="M257" s="4" t="inlineStr">
        <is>
          <t>پیچ نوک مته خزینه چهارسو</t>
        </is>
      </c>
      <c r="N257" s="2" t="n">
        <v>48</v>
      </c>
      <c r="O257" s="2" t="inlineStr">
        <is>
          <t>دارد</t>
        </is>
      </c>
      <c r="P257" s="2" t="inlineStr">
        <is>
          <t>دارد</t>
        </is>
      </c>
      <c r="Q257" s="2" t="inlineStr">
        <is>
          <t>دارد</t>
        </is>
      </c>
    </row>
    <row r="258">
      <c r="A258" s="2" t="n">
        <v>257</v>
      </c>
      <c r="B258" s="2" t="inlineStr">
        <is>
          <t>DIN</t>
        </is>
      </c>
      <c r="C258" s="3" t="inlineStr">
        <is>
          <t>DIN 7504 PSQ</t>
        </is>
      </c>
      <c r="D258" s="4" t="inlineStr">
        <is>
          <t>پیچ سرمته چهارگوش سرخزینه</t>
        </is>
      </c>
      <c r="E258" s="4" t="inlineStr">
        <is>
          <t>Self-drilling screws, countersunk head, square drive</t>
        </is>
      </c>
      <c r="F258" s="4" t="inlineStr">
        <is>
          <t>پیچ خودکار، سرمته و چوب</t>
        </is>
      </c>
      <c r="G258" s="2" t="n">
        <v>3</v>
      </c>
      <c r="H258" s="4" t="inlineStr">
        <is>
          <t>ISO 15482</t>
        </is>
      </c>
      <c r="I258" s="4" t="inlineStr"/>
      <c r="J258" s="4" t="inlineStr">
        <is>
          <t>ST3.5 – ST5.5</t>
        </is>
      </c>
      <c r="K258" s="2" t="n">
        <v>5</v>
      </c>
      <c r="L258" s="4" t="inlineStr">
        <is>
          <t>فولاد گالوانیزه، استیل A2، استیل A4</t>
        </is>
      </c>
      <c r="M258" s="4" t="inlineStr">
        <is>
          <t>پیچ نوک مته خزینه چهارگوش</t>
        </is>
      </c>
      <c r="N258" s="2" t="n">
        <v>0</v>
      </c>
      <c r="O258" s="2" t="inlineStr">
        <is>
          <t>دارد</t>
        </is>
      </c>
      <c r="P258" s="2" t="inlineStr">
        <is>
          <t>دارد</t>
        </is>
      </c>
      <c r="Q258" s="2" t="inlineStr">
        <is>
          <t>دارد</t>
        </is>
      </c>
    </row>
    <row r="259">
      <c r="A259" s="2" t="n">
        <v>258</v>
      </c>
      <c r="B259" s="2" t="inlineStr">
        <is>
          <t>DIN</t>
        </is>
      </c>
      <c r="C259" s="3" t="inlineStr">
        <is>
          <t>DIN 7504 PTX</t>
        </is>
      </c>
      <c r="D259" s="4" t="inlineStr">
        <is>
          <t>پیچ سرمته تورکس سرخزینه</t>
        </is>
      </c>
      <c r="E259" s="4" t="inlineStr">
        <is>
          <t>Self-drilling screws, countersunk head, TORX</t>
        </is>
      </c>
      <c r="F259" s="4" t="inlineStr">
        <is>
          <t>پیچ خودکار، سرمته و چوب</t>
        </is>
      </c>
      <c r="G259" s="2" t="n">
        <v>3</v>
      </c>
      <c r="H259" s="4" t="inlineStr">
        <is>
          <t>ISO 15482</t>
        </is>
      </c>
      <c r="I259" s="4" t="inlineStr"/>
      <c r="J259" s="4" t="inlineStr">
        <is>
          <t>2.9 – 6.3</t>
        </is>
      </c>
      <c r="K259" s="2" t="n">
        <v>7</v>
      </c>
      <c r="L259" s="4" t="inlineStr">
        <is>
          <t>فولاد گالوانیزه، استیل A2، استیل A4</t>
        </is>
      </c>
      <c r="M259" s="4" t="inlineStr">
        <is>
          <t>پیچ نوک مته خزینه سر عدسی چهارسو</t>
        </is>
      </c>
      <c r="N259" s="2" t="n">
        <v>0</v>
      </c>
      <c r="O259" s="2" t="inlineStr">
        <is>
          <t>دارد</t>
        </is>
      </c>
      <c r="P259" s="2" t="inlineStr">
        <is>
          <t>دارد</t>
        </is>
      </c>
      <c r="Q259" s="2" t="inlineStr">
        <is>
          <t>دارد</t>
        </is>
      </c>
    </row>
    <row r="260">
      <c r="A260" s="2" t="n">
        <v>259</v>
      </c>
      <c r="B260" s="2" t="inlineStr">
        <is>
          <t>DIN</t>
        </is>
      </c>
      <c r="C260" s="3" t="inlineStr">
        <is>
          <t>DIN 7513 A</t>
        </is>
      </c>
      <c r="D260" s="4" t="inlineStr">
        <is>
          <t>پیچ رزوه تراش سر شش‌گوش</t>
        </is>
      </c>
      <c r="E260" s="4" t="inlineStr">
        <is>
          <t>Thread-cutting screws, hexagon head, Form A</t>
        </is>
      </c>
      <c r="F260" s="4" t="inlineStr">
        <is>
          <t>پیچ خودکار، سرمته و چوب</t>
        </is>
      </c>
      <c r="G260" s="2" t="n">
        <v>3</v>
      </c>
      <c r="H260" s="4" t="inlineStr">
        <is>
          <t>DIN 7513</t>
        </is>
      </c>
      <c r="I260" s="4" t="inlineStr"/>
      <c r="J260" s="4" t="inlineStr">
        <is>
          <t>M4 – M8</t>
        </is>
      </c>
      <c r="K260" s="2" t="n">
        <v>4</v>
      </c>
      <c r="L260" s="4" t="inlineStr">
        <is>
          <t>فولاد، استیل A2، استیل A4</t>
        </is>
      </c>
      <c r="M260" s="4" t="inlineStr">
        <is>
          <t>پیچ رزوه زن ماشینی سر شش‌گوش</t>
        </is>
      </c>
      <c r="N260" s="2" t="n">
        <v>36</v>
      </c>
      <c r="O260" s="2" t="inlineStr">
        <is>
          <t>دارد</t>
        </is>
      </c>
      <c r="P260" s="2" t="inlineStr">
        <is>
          <t>دارد</t>
        </is>
      </c>
      <c r="Q260" s="2" t="inlineStr">
        <is>
          <t>دارد</t>
        </is>
      </c>
    </row>
    <row r="261">
      <c r="A261" s="2" t="n">
        <v>260</v>
      </c>
      <c r="B261" s="2" t="inlineStr">
        <is>
          <t>DIN</t>
        </is>
      </c>
      <c r="C261" s="3" t="inlineStr">
        <is>
          <t>DIN 7516 D</t>
        </is>
      </c>
      <c r="D261" s="4" t="inlineStr">
        <is>
          <t>پیچ رزوه تراش چهارسو سر عدسی</t>
        </is>
      </c>
      <c r="E261" s="4" t="inlineStr">
        <is>
          <t>Thread-cutting screws, pan head, cross recess, Form D</t>
        </is>
      </c>
      <c r="F261" s="4" t="inlineStr">
        <is>
          <t>پیچ خودکار، سرمته و چوب</t>
        </is>
      </c>
      <c r="G261" s="2" t="n">
        <v>2</v>
      </c>
      <c r="H261" s="4" t="inlineStr">
        <is>
          <t>DIN 7516</t>
        </is>
      </c>
      <c r="I261" s="4" t="inlineStr"/>
      <c r="J261" s="4" t="inlineStr">
        <is>
          <t>M3 – M6</t>
        </is>
      </c>
      <c r="K261" s="2" t="n">
        <v>4</v>
      </c>
      <c r="L261" s="4" t="inlineStr">
        <is>
          <t>فولاد، استیل A2، استیل A4</t>
        </is>
      </c>
      <c r="M261" s="4" t="inlineStr">
        <is>
          <t>پیچ سر تخت چهارسو قلاویزی</t>
        </is>
      </c>
      <c r="N261" s="2" t="n">
        <v>0</v>
      </c>
      <c r="O261" s="2" t="inlineStr">
        <is>
          <t>دارد</t>
        </is>
      </c>
      <c r="P261" s="2" t="inlineStr">
        <is>
          <t>دارد</t>
        </is>
      </c>
      <c r="Q261" s="2" t="inlineStr">
        <is>
          <t>دارد</t>
        </is>
      </c>
    </row>
    <row r="262">
      <c r="A262" s="2" t="n">
        <v>261</v>
      </c>
      <c r="B262" s="2" t="inlineStr">
        <is>
          <t>DIN</t>
        </is>
      </c>
      <c r="C262" s="3" t="inlineStr">
        <is>
          <t>DIN 7516 DTX</t>
        </is>
      </c>
      <c r="D262" s="4" t="inlineStr">
        <is>
          <t>پیچ رزوه تراش تورکس سر عدسی</t>
        </is>
      </c>
      <c r="E262" s="4" t="inlineStr">
        <is>
          <t>Thread-cutting screws, pan head, TORX, Form D</t>
        </is>
      </c>
      <c r="F262" s="4" t="inlineStr">
        <is>
          <t>پیچ خودکار، سرمته و چوب</t>
        </is>
      </c>
      <c r="G262" s="2" t="n">
        <v>3</v>
      </c>
      <c r="H262" s="4" t="inlineStr">
        <is>
          <t>DIN 7516</t>
        </is>
      </c>
      <c r="I262" s="4" t="inlineStr"/>
      <c r="J262" s="4" t="inlineStr">
        <is>
          <t>M3 – M6</t>
        </is>
      </c>
      <c r="K262" s="2" t="n">
        <v>4</v>
      </c>
      <c r="L262" s="4" t="inlineStr">
        <is>
          <t>فولاد، استیل A2، استیل A4</t>
        </is>
      </c>
      <c r="M262" s="4" t="inlineStr">
        <is>
          <t>پیچ سر تخت آلن ستاره‌ای قلاویزی</t>
        </is>
      </c>
      <c r="N262" s="2" t="n">
        <v>0</v>
      </c>
      <c r="O262" s="2" t="inlineStr">
        <is>
          <t>دارد</t>
        </is>
      </c>
      <c r="P262" s="2" t="inlineStr">
        <is>
          <t>دارد</t>
        </is>
      </c>
      <c r="Q262" s="2" t="inlineStr">
        <is>
          <t>دارد</t>
        </is>
      </c>
    </row>
    <row r="263">
      <c r="A263" s="2" t="n">
        <v>262</v>
      </c>
      <c r="B263" s="2" t="inlineStr">
        <is>
          <t>DIN</t>
        </is>
      </c>
      <c r="C263" s="3" t="inlineStr">
        <is>
          <t>DIN 7516 E</t>
        </is>
      </c>
      <c r="D263" s="4" t="inlineStr">
        <is>
          <t>پیچ رزوه تراش چهارسو سرخزینه عدسی</t>
        </is>
      </c>
      <c r="E263" s="4" t="inlineStr">
        <is>
          <t>Thread-cutting screws, raised countersunk head, cross recess, Form E</t>
        </is>
      </c>
      <c r="F263" s="4" t="inlineStr">
        <is>
          <t>پیچ خودکار، سرمته و چوب</t>
        </is>
      </c>
      <c r="G263" s="2" t="n">
        <v>3</v>
      </c>
      <c r="H263" s="4" t="inlineStr">
        <is>
          <t>DIN 7516</t>
        </is>
      </c>
      <c r="I263" s="4" t="inlineStr"/>
      <c r="J263" s="4" t="inlineStr">
        <is>
          <t>M2.5 – M8</t>
        </is>
      </c>
      <c r="K263" s="2" t="n">
        <v>6</v>
      </c>
      <c r="L263" s="4" t="inlineStr">
        <is>
          <t>فولاد، استیل A2، استیل A4</t>
        </is>
      </c>
      <c r="M263" s="4" t="inlineStr">
        <is>
          <t>پیچ خزینه عدسی چهارسو قلاویزی</t>
        </is>
      </c>
      <c r="N263" s="2" t="n">
        <v>0</v>
      </c>
      <c r="O263" s="2" t="inlineStr">
        <is>
          <t>دارد</t>
        </is>
      </c>
      <c r="P263" s="2" t="inlineStr">
        <is>
          <t>دارد</t>
        </is>
      </c>
      <c r="Q263" s="2" t="inlineStr">
        <is>
          <t>دارد</t>
        </is>
      </c>
    </row>
    <row r="264">
      <c r="A264" s="2" t="n">
        <v>263</v>
      </c>
      <c r="B264" s="2" t="inlineStr">
        <is>
          <t>DIN</t>
        </is>
      </c>
      <c r="C264" s="3" t="inlineStr">
        <is>
          <t>DIN 7516 ETX</t>
        </is>
      </c>
      <c r="D264" s="4" t="inlineStr">
        <is>
          <t>پیچ رزوه تراش تورکس سرخزینه عدسی</t>
        </is>
      </c>
      <c r="E264" s="4" t="inlineStr">
        <is>
          <t>Thread-cutting screws, raised countersunk head, TORX, Form E</t>
        </is>
      </c>
      <c r="F264" s="4" t="inlineStr">
        <is>
          <t>پیچ خودکار، سرمته و چوب</t>
        </is>
      </c>
      <c r="G264" s="2" t="n">
        <v>3</v>
      </c>
      <c r="H264" s="4" t="inlineStr">
        <is>
          <t>DIN 7516</t>
        </is>
      </c>
      <c r="I264" s="4" t="inlineStr"/>
      <c r="J264" s="4" t="inlineStr">
        <is>
          <t>M2.5 – M8</t>
        </is>
      </c>
      <c r="K264" s="2" t="n">
        <v>6</v>
      </c>
      <c r="L264" s="4" t="inlineStr">
        <is>
          <t>فولاد، استیل A2، استیل A4</t>
        </is>
      </c>
      <c r="M264" s="4" t="inlineStr">
        <is>
          <t>پیچ خزینه عدسی آلن ستاره‌ای قلاویزی</t>
        </is>
      </c>
      <c r="N264" s="2" t="n">
        <v>0</v>
      </c>
      <c r="O264" s="2" t="inlineStr">
        <is>
          <t>دارد</t>
        </is>
      </c>
      <c r="P264" s="2" t="inlineStr">
        <is>
          <t>دارد</t>
        </is>
      </c>
      <c r="Q264" s="2" t="inlineStr">
        <is>
          <t>دارد</t>
        </is>
      </c>
    </row>
    <row r="265">
      <c r="A265" s="2" t="n">
        <v>264</v>
      </c>
      <c r="B265" s="2" t="inlineStr">
        <is>
          <t>DIN</t>
        </is>
      </c>
      <c r="C265" s="3" t="inlineStr">
        <is>
          <t>DIN 7604 C</t>
        </is>
      </c>
      <c r="D265" s="4" t="inlineStr">
        <is>
          <t>درپوش شش‌گوش یقه‌دار (رزوه ریز)</t>
        </is>
      </c>
      <c r="E265" s="4" t="inlineStr">
        <is>
          <t>Screw plugs with collar and external hexagon</t>
        </is>
      </c>
      <c r="F265" s="4" t="inlineStr">
        <is>
          <t>سایر اتصالات و یراق</t>
        </is>
      </c>
      <c r="G265" s="2" t="n">
        <v>3</v>
      </c>
      <c r="H265" s="4" t="inlineStr">
        <is>
          <t>DIN 7604</t>
        </is>
      </c>
      <c r="I265" s="4" t="inlineStr"/>
      <c r="J265" s="4" t="inlineStr">
        <is>
          <t>M8X1 – M26X1.5</t>
        </is>
      </c>
      <c r="K265" s="2" t="n">
        <v>8</v>
      </c>
      <c r="L265" s="4" t="inlineStr">
        <is>
          <t>فولاد کربنی گالوانیزه، استیل A2، استیل A4</t>
        </is>
      </c>
      <c r="M265" s="4" t="inlineStr">
        <is>
          <t>پیچ کورکن رزوه‌ای سر شش‌گوش واشردار</t>
        </is>
      </c>
      <c r="N265" s="2" t="n">
        <v>0</v>
      </c>
      <c r="O265" s="2" t="inlineStr">
        <is>
          <t>دارد</t>
        </is>
      </c>
      <c r="P265" s="2" t="inlineStr">
        <is>
          <t>دارد</t>
        </is>
      </c>
      <c r="Q265" s="2" t="inlineStr">
        <is>
          <t>دارد</t>
        </is>
      </c>
    </row>
    <row r="266">
      <c r="A266" s="2" t="n">
        <v>265</v>
      </c>
      <c r="B266" s="2" t="inlineStr">
        <is>
          <t>DIN</t>
        </is>
      </c>
      <c r="C266" s="3" t="inlineStr">
        <is>
          <t>DIN 7643</t>
        </is>
      </c>
      <c r="D266" s="4" t="inlineStr">
        <is>
          <t>پیچ توخالی (پیچ بانجو)</t>
        </is>
      </c>
      <c r="E266" s="4" t="inlineStr">
        <is>
          <t>Banjo bolts (hollow screws)</t>
        </is>
      </c>
      <c r="F266" s="4" t="inlineStr">
        <is>
          <t>سایر اتصالات و یراق</t>
        </is>
      </c>
      <c r="G266" s="2" t="n">
        <v>3</v>
      </c>
      <c r="H266" s="4" t="inlineStr"/>
      <c r="I266" s="4" t="inlineStr"/>
      <c r="J266" s="4" t="inlineStr">
        <is>
          <t>M8X1 – M26X1.5</t>
        </is>
      </c>
      <c r="K266" s="2" t="n">
        <v>8</v>
      </c>
      <c r="L266" s="4" t="inlineStr">
        <is>
          <t>فولاد کربنی گالوانیزه، استیل A2، استیل A4، برنج</t>
        </is>
      </c>
      <c r="M266" s="4" t="inlineStr">
        <is>
          <t>پیچ روغن‌خور سوراخ‌دار، مخصوص عبور روغن و صیالات اتصالات هیدرولیک</t>
        </is>
      </c>
      <c r="N266" s="2" t="n">
        <v>8</v>
      </c>
      <c r="O266" s="2" t="inlineStr">
        <is>
          <t>دارد</t>
        </is>
      </c>
      <c r="P266" s="2" t="inlineStr">
        <is>
          <t>دارد</t>
        </is>
      </c>
      <c r="Q266" s="2" t="inlineStr">
        <is>
          <t>دارد</t>
        </is>
      </c>
    </row>
    <row r="267">
      <c r="A267" s="2" t="n">
        <v>266</v>
      </c>
      <c r="B267" s="2" t="inlineStr">
        <is>
          <t>DIN</t>
        </is>
      </c>
      <c r="C267" s="3" t="inlineStr">
        <is>
          <t>DIN 7965</t>
        </is>
      </c>
      <c r="D267" s="4" t="inlineStr">
        <is>
          <t>پیچ دوسو بوشی</t>
        </is>
      </c>
      <c r="E267" s="4" t="inlineStr">
        <is>
          <t>Slotted threaded inserts</t>
        </is>
      </c>
      <c r="F267" s="4" t="inlineStr">
        <is>
          <t>پیچ دوسو و چهارسو</t>
        </is>
      </c>
      <c r="G267" s="2" t="n">
        <v>2</v>
      </c>
      <c r="H267" s="4" t="inlineStr">
        <is>
          <t>DIN 7965</t>
        </is>
      </c>
      <c r="I267" s="4" t="inlineStr"/>
      <c r="J267" s="4" t="inlineStr">
        <is>
          <t>M3 – M20</t>
        </is>
      </c>
      <c r="K267" s="2" t="n">
        <v>9</v>
      </c>
      <c r="L267" s="4" t="inlineStr">
        <is>
          <t>فولاد، برنج، زاماک</t>
        </is>
      </c>
      <c r="M267" s="4" t="inlineStr">
        <is>
          <t>بوش رزوه‌دار چوب، مهره توکار چوب</t>
        </is>
      </c>
      <c r="N267" s="2" t="n">
        <v>9</v>
      </c>
      <c r="O267" s="2" t="inlineStr">
        <is>
          <t>دارد</t>
        </is>
      </c>
      <c r="P267" s="2" t="inlineStr">
        <is>
          <t>دارد</t>
        </is>
      </c>
      <c r="Q267" s="2" t="inlineStr">
        <is>
          <t>دارد</t>
        </is>
      </c>
    </row>
    <row r="268">
      <c r="A268" s="2" t="n">
        <v>267</v>
      </c>
      <c r="B268" s="2" t="inlineStr">
        <is>
          <t>DIN</t>
        </is>
      </c>
      <c r="C268" s="3" t="inlineStr">
        <is>
          <t>DIN 7967</t>
        </is>
      </c>
      <c r="D268" s="4" t="inlineStr">
        <is>
          <t>مهره قفلی PAL</t>
        </is>
      </c>
      <c r="E268" s="4" t="inlineStr">
        <is>
          <t>Self-locking counter nuts PAL</t>
        </is>
      </c>
      <c r="F268" s="4" t="inlineStr">
        <is>
          <t>مهره قفلی</t>
        </is>
      </c>
      <c r="G268" s="2" t="n">
        <v>2</v>
      </c>
      <c r="H268" s="4" t="inlineStr"/>
      <c r="I268" s="4" t="inlineStr">
        <is>
          <t>UNI 8835</t>
        </is>
      </c>
      <c r="J268" s="4" t="inlineStr">
        <is>
          <t>M4 – M52</t>
        </is>
      </c>
      <c r="K268" s="2" t="n">
        <v>21</v>
      </c>
      <c r="L268" s="4" t="inlineStr">
        <is>
          <t>فولاد فنری، استیل فنری</t>
        </is>
      </c>
      <c r="M268" s="4" t="inlineStr">
        <is>
          <t>مهره قفلی ورقی شش‌گوش</t>
        </is>
      </c>
      <c r="N268" s="2" t="n">
        <v>21</v>
      </c>
      <c r="O268" s="2" t="inlineStr">
        <is>
          <t>دارد</t>
        </is>
      </c>
      <c r="P268" s="2" t="inlineStr">
        <is>
          <t>دارد</t>
        </is>
      </c>
      <c r="Q268" s="2" t="inlineStr">
        <is>
          <t>دارد</t>
        </is>
      </c>
    </row>
    <row r="269">
      <c r="A269" s="2" t="n">
        <v>268</v>
      </c>
      <c r="B269" s="2" t="inlineStr">
        <is>
          <t>DIN</t>
        </is>
      </c>
      <c r="C269" s="3" t="inlineStr">
        <is>
          <t>DIN 7968</t>
        </is>
      </c>
      <c r="D269" s="4" t="inlineStr">
        <is>
          <t>پیچ جازن سر شش‌گوش سازه با مهره</t>
        </is>
      </c>
      <c r="E269" s="4" t="inlineStr">
        <is>
          <t>Hexagon fit bolts with hexagon nut for steel structures</t>
        </is>
      </c>
      <c r="F269" s="4" t="inlineStr">
        <is>
          <t>پیچ شش‌گوش</t>
        </is>
      </c>
      <c r="G269" s="2" t="n">
        <v>3</v>
      </c>
      <c r="H269" s="4" t="inlineStr">
        <is>
          <t>DIN 7968</t>
        </is>
      </c>
      <c r="I269" s="4" t="inlineStr"/>
      <c r="J269" s="4" t="inlineStr">
        <is>
          <t>M12 – M30</t>
        </is>
      </c>
      <c r="K269" s="2" t="n">
        <v>7</v>
      </c>
      <c r="L269" s="4" t="inlineStr">
        <is>
          <t>فولاد 5.6، فولاد 8.8، فولاد 10.9، فولاد 12.9</t>
        </is>
      </c>
      <c r="M269" s="4" t="inlineStr">
        <is>
          <t>پیچ انطباقی، فیت بولت شش‌گوش سازه‌ای همراه مهره</t>
        </is>
      </c>
      <c r="N269" s="2" t="n">
        <v>193</v>
      </c>
      <c r="O269" s="2" t="inlineStr">
        <is>
          <t>دارد</t>
        </is>
      </c>
      <c r="P269" s="2" t="inlineStr">
        <is>
          <t>دارد</t>
        </is>
      </c>
      <c r="Q269" s="2" t="inlineStr">
        <is>
          <t>دارد</t>
        </is>
      </c>
    </row>
    <row r="270">
      <c r="A270" s="2" t="n">
        <v>269</v>
      </c>
      <c r="B270" s="2" t="inlineStr">
        <is>
          <t>DIN</t>
        </is>
      </c>
      <c r="C270" s="3" t="inlineStr">
        <is>
          <t>DIN 7969</t>
        </is>
      </c>
      <c r="D270" s="4" t="inlineStr">
        <is>
          <t>پیچ دوسو سرخزینه سازه</t>
        </is>
      </c>
      <c r="E270" s="4" t="inlineStr">
        <is>
          <t>Slotted countersunk head bolts for structural steel bolting</t>
        </is>
      </c>
      <c r="F270" s="4" t="inlineStr">
        <is>
          <t>پیچ دوسو و چهارسو</t>
        </is>
      </c>
      <c r="G270" s="2" t="n">
        <v>3</v>
      </c>
      <c r="H270" s="4" t="inlineStr">
        <is>
          <t>DIN 7969</t>
        </is>
      </c>
      <c r="I270" s="4" t="inlineStr"/>
      <c r="J270" s="4" t="inlineStr">
        <is>
          <t>M10 – M24</t>
        </is>
      </c>
      <c r="K270" s="2" t="n">
        <v>6</v>
      </c>
      <c r="L270" s="4" t="inlineStr">
        <is>
          <t>فولاد 4.6، فولاد 5.6، فولاد 8.8</t>
        </is>
      </c>
      <c r="M270" s="4" t="inlineStr">
        <is>
          <t>پیچ سر خزینه دوسو سازه های فولادی</t>
        </is>
      </c>
      <c r="N270" s="2" t="n">
        <v>105</v>
      </c>
      <c r="O270" s="2" t="inlineStr">
        <is>
          <t>دارد</t>
        </is>
      </c>
      <c r="P270" s="2" t="inlineStr">
        <is>
          <t>دارد</t>
        </is>
      </c>
      <c r="Q270" s="2" t="inlineStr">
        <is>
          <t>دارد</t>
        </is>
      </c>
    </row>
    <row r="271">
      <c r="A271" s="2" t="n">
        <v>270</v>
      </c>
      <c r="B271" s="2" t="inlineStr">
        <is>
          <t>DIN</t>
        </is>
      </c>
      <c r="C271" s="3" t="inlineStr">
        <is>
          <t>DIN 7971</t>
        </is>
      </c>
      <c r="D271" s="4" t="inlineStr">
        <is>
          <t>پیچ خودکار دوسو سر عدسی</t>
        </is>
      </c>
      <c r="E271" s="4" t="inlineStr">
        <is>
          <t>Tapping screws, slotted pan head</t>
        </is>
      </c>
      <c r="F271" s="4" t="inlineStr">
        <is>
          <t>پیچ خودکار، سرمته و چوب</t>
        </is>
      </c>
      <c r="G271" s="2" t="n">
        <v>2</v>
      </c>
      <c r="H271" s="4" t="inlineStr">
        <is>
          <t>DIN ISO 1481</t>
        </is>
      </c>
      <c r="I271" s="4" t="inlineStr">
        <is>
          <t>ISO 1481، CSN 021232، PN 83106، UNI 6591</t>
        </is>
      </c>
      <c r="J271" s="4" t="inlineStr">
        <is>
          <t>ST2.2 – ST9.5</t>
        </is>
      </c>
      <c r="K271" s="2" t="n">
        <v>9</v>
      </c>
      <c r="L271" s="4" t="inlineStr">
        <is>
          <t>فولاد گالوانیزه، استیل A2، استیل A4</t>
        </is>
      </c>
      <c r="M271" s="4" t="inlineStr"/>
      <c r="N271" s="2" t="n">
        <v>58</v>
      </c>
      <c r="O271" s="2" t="inlineStr">
        <is>
          <t>دارد</t>
        </is>
      </c>
      <c r="P271" s="2" t="inlineStr">
        <is>
          <t>دارد</t>
        </is>
      </c>
      <c r="Q271" s="2" t="inlineStr">
        <is>
          <t>دارد</t>
        </is>
      </c>
    </row>
    <row r="272">
      <c r="A272" s="2" t="n">
        <v>271</v>
      </c>
      <c r="B272" s="2" t="inlineStr">
        <is>
          <t>DIN</t>
        </is>
      </c>
      <c r="C272" s="3" t="inlineStr">
        <is>
          <t>DIN 7972</t>
        </is>
      </c>
      <c r="D272" s="4" t="inlineStr">
        <is>
          <t>پیچ خودکار دوسو سرخزینه</t>
        </is>
      </c>
      <c r="E272" s="4" t="inlineStr">
        <is>
          <t>Slotted countersunk head tapping screws</t>
        </is>
      </c>
      <c r="F272" s="4" t="inlineStr">
        <is>
          <t>پیچ خودکار، سرمته و چوب</t>
        </is>
      </c>
      <c r="G272" s="2" t="n">
        <v>2</v>
      </c>
      <c r="H272" s="4" t="inlineStr">
        <is>
          <t>DIN ISO 1482</t>
        </is>
      </c>
      <c r="I272" s="4" t="inlineStr">
        <is>
          <t>ISO 1482، CSN 021236، PN 83102، UNI 6592</t>
        </is>
      </c>
      <c r="J272" s="4" t="inlineStr">
        <is>
          <t>ST2.2 – ST6.3</t>
        </is>
      </c>
      <c r="K272" s="2" t="n">
        <v>8</v>
      </c>
      <c r="L272" s="4" t="inlineStr">
        <is>
          <t>فولاد گالوانیزه، استیل A2، استیل A4</t>
        </is>
      </c>
      <c r="M272" s="4" t="inlineStr"/>
      <c r="N272" s="2" t="n">
        <v>50</v>
      </c>
      <c r="O272" s="2" t="inlineStr">
        <is>
          <t>دارد</t>
        </is>
      </c>
      <c r="P272" s="2" t="inlineStr">
        <is>
          <t>دارد</t>
        </is>
      </c>
      <c r="Q272" s="2" t="inlineStr">
        <is>
          <t>دارد</t>
        </is>
      </c>
    </row>
    <row r="273">
      <c r="A273" s="2" t="n">
        <v>272</v>
      </c>
      <c r="B273" s="2" t="inlineStr">
        <is>
          <t>DIN</t>
        </is>
      </c>
      <c r="C273" s="3" t="inlineStr">
        <is>
          <t>DIN 7973</t>
        </is>
      </c>
      <c r="D273" s="4" t="inlineStr">
        <is>
          <t>پیچ خودکار دوسو سرخزینه عدسی</t>
        </is>
      </c>
      <c r="E273" s="4" t="inlineStr">
        <is>
          <t>Slotted raised countersunk head tapping screws</t>
        </is>
      </c>
      <c r="F273" s="4" t="inlineStr">
        <is>
          <t>پیچ خودکار، سرمته و چوب</t>
        </is>
      </c>
      <c r="G273" s="2" t="n">
        <v>2</v>
      </c>
      <c r="H273" s="4" t="inlineStr">
        <is>
          <t>DIN ISO 1483</t>
        </is>
      </c>
      <c r="I273" s="4" t="inlineStr">
        <is>
          <t>ISO 1483، CSN 021238، PN 83104، UNI 6953</t>
        </is>
      </c>
      <c r="J273" s="4" t="inlineStr">
        <is>
          <t>ST2.2 – ST6.3</t>
        </is>
      </c>
      <c r="K273" s="2" t="n">
        <v>8</v>
      </c>
      <c r="L273" s="4" t="inlineStr">
        <is>
          <t>فولاد گالوانیزه، استیل A2، استیل A4</t>
        </is>
      </c>
      <c r="M273" s="4" t="inlineStr"/>
      <c r="N273" s="2" t="n">
        <v>50</v>
      </c>
      <c r="O273" s="2" t="inlineStr">
        <is>
          <t>دارد</t>
        </is>
      </c>
      <c r="P273" s="2" t="inlineStr">
        <is>
          <t>دارد</t>
        </is>
      </c>
      <c r="Q273" s="2" t="inlineStr">
        <is>
          <t>دارد</t>
        </is>
      </c>
    </row>
    <row r="274">
      <c r="A274" s="2" t="n">
        <v>273</v>
      </c>
      <c r="B274" s="2" t="inlineStr">
        <is>
          <t>DIN</t>
        </is>
      </c>
      <c r="C274" s="3" t="inlineStr">
        <is>
          <t>DIN 7976</t>
        </is>
      </c>
      <c r="D274" s="4" t="inlineStr">
        <is>
          <t>پیچ خودکار سر شش‌گوش</t>
        </is>
      </c>
      <c r="E274" s="4" t="inlineStr">
        <is>
          <t>Hexagon head self tapping screws</t>
        </is>
      </c>
      <c r="F274" s="4" t="inlineStr">
        <is>
          <t>پیچ خودکار، سرمته و چوب</t>
        </is>
      </c>
      <c r="G274" s="2" t="n">
        <v>2</v>
      </c>
      <c r="H274" s="4" t="inlineStr">
        <is>
          <t>DIN ISO 1479</t>
        </is>
      </c>
      <c r="I274" s="4" t="inlineStr">
        <is>
          <t>ISO 1479، CSN 021231، PN 83101، UNI 6949</t>
        </is>
      </c>
      <c r="J274" s="4" t="inlineStr">
        <is>
          <t>ST2.2 – ST8</t>
        </is>
      </c>
      <c r="K274" s="2" t="n">
        <v>9</v>
      </c>
      <c r="L274" s="4" t="inlineStr">
        <is>
          <t>فولاد گالوانیزه، استیل A2، استیل A4</t>
        </is>
      </c>
      <c r="M274" s="4" t="inlineStr"/>
      <c r="N274" s="2" t="n">
        <v>64</v>
      </c>
      <c r="O274" s="2" t="inlineStr">
        <is>
          <t>دارد</t>
        </is>
      </c>
      <c r="P274" s="2" t="inlineStr">
        <is>
          <t>دارد</t>
        </is>
      </c>
      <c r="Q274" s="2" t="inlineStr">
        <is>
          <t>دارد</t>
        </is>
      </c>
    </row>
    <row r="275">
      <c r="A275" s="2" t="n">
        <v>274</v>
      </c>
      <c r="B275" s="2" t="inlineStr">
        <is>
          <t>DIN</t>
        </is>
      </c>
      <c r="C275" s="3" t="inlineStr">
        <is>
          <t>DIN 7977</t>
        </is>
      </c>
      <c r="D275" s="4" t="inlineStr">
        <is>
          <t>پین مخروطی با رزوهٔ خارجی</t>
        </is>
      </c>
      <c r="E275" s="4" t="inlineStr">
        <is>
          <t>Taper pins with external thread</t>
        </is>
      </c>
      <c r="F275" s="4" t="inlineStr">
        <is>
          <t>پین</t>
        </is>
      </c>
      <c r="G275" s="2" t="n">
        <v>3</v>
      </c>
      <c r="H275" s="4" t="inlineStr">
        <is>
          <t>DIN EN 28737</t>
        </is>
      </c>
      <c r="I275" s="4" t="inlineStr">
        <is>
          <t>ISO 8737، CSN 022154، PN 85022، EU 28737</t>
        </is>
      </c>
      <c r="J275" s="4" t="inlineStr">
        <is>
          <t>5 – 20</t>
        </is>
      </c>
      <c r="K275" s="2" t="n">
        <v>8</v>
      </c>
      <c r="L275" s="4" t="inlineStr">
        <is>
          <t>فولاد 5.8</t>
        </is>
      </c>
      <c r="M275" s="4" t="inlineStr"/>
      <c r="N275" s="2" t="n">
        <v>0</v>
      </c>
      <c r="O275" s="2" t="inlineStr">
        <is>
          <t>دارد</t>
        </is>
      </c>
      <c r="P275" s="2" t="inlineStr">
        <is>
          <t>دارد</t>
        </is>
      </c>
      <c r="Q275" s="2" t="inlineStr">
        <is>
          <t>دارد</t>
        </is>
      </c>
    </row>
    <row r="276">
      <c r="A276" s="2" t="n">
        <v>275</v>
      </c>
      <c r="B276" s="2" t="inlineStr">
        <is>
          <t>DIN</t>
        </is>
      </c>
      <c r="C276" s="3" t="inlineStr">
        <is>
          <t>DIN 7978</t>
        </is>
      </c>
      <c r="D276" s="4" t="inlineStr">
        <is>
          <t>پین مخروطی با رزوهٔ داخلی</t>
        </is>
      </c>
      <c r="E276" s="4" t="inlineStr">
        <is>
          <t>Taper pins with internal thread</t>
        </is>
      </c>
      <c r="F276" s="4" t="inlineStr">
        <is>
          <t>پین</t>
        </is>
      </c>
      <c r="G276" s="2" t="n">
        <v>3</v>
      </c>
      <c r="H276" s="4" t="inlineStr">
        <is>
          <t>DIN EN 28736</t>
        </is>
      </c>
      <c r="I276" s="4" t="inlineStr">
        <is>
          <t>ISO 8736، CSN 022155، PN 85019، UNI 7284، EU 28736</t>
        </is>
      </c>
      <c r="J276" s="4" t="inlineStr">
        <is>
          <t>6 – 20</t>
        </is>
      </c>
      <c r="K276" s="2" t="n">
        <v>7</v>
      </c>
      <c r="L276" s="4" t="inlineStr"/>
      <c r="M276" s="4" t="inlineStr">
        <is>
          <t>پین مخروطی رزوه‌دار</t>
        </is>
      </c>
      <c r="N276" s="2" t="n">
        <v>0</v>
      </c>
      <c r="O276" s="2" t="inlineStr">
        <is>
          <t>دارد</t>
        </is>
      </c>
      <c r="P276" s="2" t="inlineStr">
        <is>
          <t>دارد</t>
        </is>
      </c>
      <c r="Q276" s="2" t="inlineStr">
        <is>
          <t>دارد</t>
        </is>
      </c>
    </row>
    <row r="277">
      <c r="A277" s="2" t="n">
        <v>276</v>
      </c>
      <c r="B277" s="2" t="inlineStr">
        <is>
          <t>DIN</t>
        </is>
      </c>
      <c r="C277" s="3" t="inlineStr">
        <is>
          <t>DIN 7979</t>
        </is>
      </c>
      <c r="D277" s="4" t="inlineStr">
        <is>
          <t>پین استوانه‌ای با رزوهٔ داخلی</t>
        </is>
      </c>
      <c r="E277" s="4" t="inlineStr">
        <is>
          <t>Parallel Pins with Internal Thread</t>
        </is>
      </c>
      <c r="F277" s="4" t="inlineStr">
        <is>
          <t>پین</t>
        </is>
      </c>
      <c r="G277" s="2" t="n">
        <v>3</v>
      </c>
      <c r="H277" s="4" t="inlineStr">
        <is>
          <t>DIN EN 28733</t>
        </is>
      </c>
      <c r="I277" s="4" t="inlineStr">
        <is>
          <t>ISO 8735، CSN 022151، PN 85018، UNI 6364</t>
        </is>
      </c>
      <c r="J277" s="4" t="inlineStr">
        <is>
          <t>6 – 20</t>
        </is>
      </c>
      <c r="K277" s="2" t="n">
        <v>7</v>
      </c>
      <c r="L277" s="4" t="inlineStr">
        <is>
          <t>فولاد ابزار سخت‌کاری‌شده، استیل سخت‌کاری‌شونده C1</t>
        </is>
      </c>
      <c r="M277" s="4" t="inlineStr">
        <is>
          <t>پین استوانه‌ای سخت کاری شده با رزوه داخلی در یک سر پین</t>
        </is>
      </c>
      <c r="N277" s="2" t="n">
        <v>0</v>
      </c>
      <c r="O277" s="2" t="inlineStr">
        <is>
          <t>دارد</t>
        </is>
      </c>
      <c r="P277" s="2" t="inlineStr">
        <is>
          <t>دارد</t>
        </is>
      </c>
      <c r="Q277" s="2" t="inlineStr">
        <is>
          <t>دارد</t>
        </is>
      </c>
    </row>
    <row r="278">
      <c r="A278" s="2" t="n">
        <v>277</v>
      </c>
      <c r="B278" s="2" t="inlineStr">
        <is>
          <t>DIN</t>
        </is>
      </c>
      <c r="C278" s="3" t="inlineStr">
        <is>
          <t>DIN 7980</t>
        </is>
      </c>
      <c r="D278" s="4" t="inlineStr">
        <is>
          <t>واشر فنری پیچ سر استوانه‌ای</t>
        </is>
      </c>
      <c r="E278" s="4" t="inlineStr">
        <is>
          <t>Spring lock washer for cylinder head screws</t>
        </is>
      </c>
      <c r="F278" s="4" t="inlineStr">
        <is>
          <t>واشر</t>
        </is>
      </c>
      <c r="G278" s="2" t="n">
        <v>2</v>
      </c>
      <c r="H278" s="4" t="inlineStr"/>
      <c r="I278" s="4" t="inlineStr">
        <is>
          <t>CSN 021740، PN 82008، UNI 4464A</t>
        </is>
      </c>
      <c r="J278" s="4" t="inlineStr">
        <is>
          <t>M3 – M48</t>
        </is>
      </c>
      <c r="K278" s="2" t="n">
        <v>20</v>
      </c>
      <c r="L278" s="4" t="inlineStr">
        <is>
          <t>فولاد فنری، استیل فنری، استیل A2، استیل A4</t>
        </is>
      </c>
      <c r="M278" s="4" t="inlineStr">
        <is>
          <t>واشر فنری آلنی</t>
        </is>
      </c>
      <c r="N278" s="2" t="n">
        <v>20</v>
      </c>
      <c r="O278" s="2" t="inlineStr">
        <is>
          <t>دارد</t>
        </is>
      </c>
      <c r="P278" s="2" t="inlineStr">
        <is>
          <t>دارد</t>
        </is>
      </c>
      <c r="Q278" s="2" t="inlineStr">
        <is>
          <t>دارد</t>
        </is>
      </c>
    </row>
    <row r="279">
      <c r="A279" s="2" t="n">
        <v>278</v>
      </c>
      <c r="B279" s="2" t="inlineStr">
        <is>
          <t>DIN</t>
        </is>
      </c>
      <c r="C279" s="3" t="inlineStr">
        <is>
          <t>DIN 7981 C</t>
        </is>
      </c>
      <c r="D279" s="4" t="inlineStr">
        <is>
          <t>پیچ خودکار چهارسو سر عدسی</t>
        </is>
      </c>
      <c r="E279" s="4" t="inlineStr">
        <is>
          <t>Pan head tapping screws, cross recess, Form C</t>
        </is>
      </c>
      <c r="F279" s="4" t="inlineStr">
        <is>
          <t>پیچ خودکار، سرمته و چوب</t>
        </is>
      </c>
      <c r="G279" s="2" t="n">
        <v>2</v>
      </c>
      <c r="H279" s="4" t="inlineStr">
        <is>
          <t>DIN ISO 7049</t>
        </is>
      </c>
      <c r="I279" s="4" t="inlineStr">
        <is>
          <t>ISO 7049، CSN 021235، UNI 6954</t>
        </is>
      </c>
      <c r="J279" s="4" t="inlineStr">
        <is>
          <t>ST2.2 – ST6.3</t>
        </is>
      </c>
      <c r="K279" s="2" t="n">
        <v>8</v>
      </c>
      <c r="L279" s="4" t="inlineStr">
        <is>
          <t>فولاد گالوانیزه، استیل A2، استیل A4</t>
        </is>
      </c>
      <c r="M279" s="4" t="inlineStr"/>
      <c r="N279" s="2" t="n">
        <v>57</v>
      </c>
      <c r="O279" s="2" t="inlineStr">
        <is>
          <t>دارد</t>
        </is>
      </c>
      <c r="P279" s="2" t="inlineStr">
        <is>
          <t>دارد</t>
        </is>
      </c>
      <c r="Q279" s="2" t="inlineStr">
        <is>
          <t>دارد</t>
        </is>
      </c>
    </row>
    <row r="280">
      <c r="A280" s="2" t="n">
        <v>279</v>
      </c>
      <c r="B280" s="2" t="inlineStr">
        <is>
          <t>DIN</t>
        </is>
      </c>
      <c r="C280" s="3" t="inlineStr">
        <is>
          <t>DIN 7981 CTX</t>
        </is>
      </c>
      <c r="D280" s="4" t="inlineStr">
        <is>
          <t>پیچ خودکار تورکس سر عدسی</t>
        </is>
      </c>
      <c r="E280" s="4" t="inlineStr">
        <is>
          <t>Pan head tapping screws with TORX, Form C</t>
        </is>
      </c>
      <c r="F280" s="4" t="inlineStr">
        <is>
          <t>پیچ خودکار، سرمته و چوب</t>
        </is>
      </c>
      <c r="G280" s="2" t="n">
        <v>3</v>
      </c>
      <c r="H280" s="4" t="inlineStr">
        <is>
          <t>DIN ISO 7049</t>
        </is>
      </c>
      <c r="I280" s="4" t="inlineStr">
        <is>
          <t>UNI 6954</t>
        </is>
      </c>
      <c r="J280" s="4" t="inlineStr">
        <is>
          <t>ST2.2 – ST6.3</t>
        </is>
      </c>
      <c r="K280" s="2" t="n">
        <v>8</v>
      </c>
      <c r="L280" s="4" t="inlineStr">
        <is>
          <t>فولاد گالوانیزه، استیل A2، استیل A4</t>
        </is>
      </c>
      <c r="M280" s="4" t="inlineStr">
        <is>
          <t>پیچ خودکار آلن ستاره‌ای سر عدسی</t>
        </is>
      </c>
      <c r="N280" s="2" t="n">
        <v>0</v>
      </c>
      <c r="O280" s="2" t="inlineStr">
        <is>
          <t>دارد</t>
        </is>
      </c>
      <c r="P280" s="2" t="inlineStr">
        <is>
          <t>دارد</t>
        </is>
      </c>
      <c r="Q280" s="2" t="inlineStr">
        <is>
          <t>دارد</t>
        </is>
      </c>
    </row>
    <row r="281">
      <c r="A281" s="2" t="n">
        <v>280</v>
      </c>
      <c r="B281" s="2" t="inlineStr">
        <is>
          <t>DIN</t>
        </is>
      </c>
      <c r="C281" s="3" t="inlineStr">
        <is>
          <t>DIN 7981 F</t>
        </is>
      </c>
      <c r="D281" s="4" t="inlineStr">
        <is>
          <t>پیچ خودکار چهارسو سر عدسی نوک تخت</t>
        </is>
      </c>
      <c r="E281" s="4" t="inlineStr">
        <is>
          <t>Pan head tapping screws, cross recess, Form F</t>
        </is>
      </c>
      <c r="F281" s="4" t="inlineStr">
        <is>
          <t>پیچ خودکار، سرمته و چوب</t>
        </is>
      </c>
      <c r="G281" s="2" t="n">
        <v>2</v>
      </c>
      <c r="H281" s="4" t="inlineStr">
        <is>
          <t>DIN ISO 7049</t>
        </is>
      </c>
      <c r="I281" s="4" t="inlineStr">
        <is>
          <t>ISO 7049، CSN 021235، UNI 6954</t>
        </is>
      </c>
      <c r="J281" s="4" t="inlineStr">
        <is>
          <t>ST2.2 – ST6.3</t>
        </is>
      </c>
      <c r="K281" s="2" t="n">
        <v>8</v>
      </c>
      <c r="L281" s="4" t="inlineStr">
        <is>
          <t>فولاد گالوانیزه، استیل A2، استیل A4</t>
        </is>
      </c>
      <c r="M281" s="4" t="inlineStr"/>
      <c r="N281" s="2" t="n">
        <v>57</v>
      </c>
      <c r="O281" s="2" t="inlineStr">
        <is>
          <t>—</t>
        </is>
      </c>
      <c r="P281" s="2" t="inlineStr">
        <is>
          <t>دارد</t>
        </is>
      </c>
      <c r="Q281" s="2" t="inlineStr">
        <is>
          <t>دارد</t>
        </is>
      </c>
    </row>
    <row r="282">
      <c r="A282" s="2" t="n">
        <v>281</v>
      </c>
      <c r="B282" s="2" t="inlineStr">
        <is>
          <t>DIN</t>
        </is>
      </c>
      <c r="C282" s="3" t="inlineStr">
        <is>
          <t>DIN 7982 C</t>
        </is>
      </c>
      <c r="D282" s="4" t="inlineStr">
        <is>
          <t>پیچ خودکار چهارسو سرخزینه</t>
        </is>
      </c>
      <c r="E282" s="4" t="inlineStr">
        <is>
          <t>Countersunk head tapping screws, cross recess, Form C</t>
        </is>
      </c>
      <c r="F282" s="4" t="inlineStr">
        <is>
          <t>پیچ خودکار، سرمته و چوب</t>
        </is>
      </c>
      <c r="G282" s="2" t="n">
        <v>2</v>
      </c>
      <c r="H282" s="4" t="inlineStr">
        <is>
          <t>DIN ISO 7050</t>
        </is>
      </c>
      <c r="I282" s="4" t="inlineStr">
        <is>
          <t>ISO 7050، CSN 021237، UNI 6955</t>
        </is>
      </c>
      <c r="J282" s="4" t="inlineStr">
        <is>
          <t>ST2.2 – ST6.3</t>
        </is>
      </c>
      <c r="K282" s="2" t="n">
        <v>8</v>
      </c>
      <c r="L282" s="4" t="inlineStr">
        <is>
          <t>فولاد گالوانیزه، استیل A2، استیل A4</t>
        </is>
      </c>
      <c r="M282" s="4" t="inlineStr"/>
      <c r="N282" s="2" t="n">
        <v>54</v>
      </c>
      <c r="O282" s="2" t="inlineStr">
        <is>
          <t>دارد</t>
        </is>
      </c>
      <c r="P282" s="2" t="inlineStr">
        <is>
          <t>دارد</t>
        </is>
      </c>
      <c r="Q282" s="2" t="inlineStr">
        <is>
          <t>دارد</t>
        </is>
      </c>
    </row>
    <row r="283">
      <c r="A283" s="2" t="n">
        <v>282</v>
      </c>
      <c r="B283" s="2" t="inlineStr">
        <is>
          <t>DIN</t>
        </is>
      </c>
      <c r="C283" s="3" t="inlineStr">
        <is>
          <t>DIN 7982 CTX</t>
        </is>
      </c>
      <c r="D283" s="4" t="inlineStr">
        <is>
          <t>پیچ خودکار تورکس سرخزینه</t>
        </is>
      </c>
      <c r="E283" s="4" t="inlineStr">
        <is>
          <t>Countersunk head tapping screws with TORX, Form C</t>
        </is>
      </c>
      <c r="F283" s="4" t="inlineStr">
        <is>
          <t>پیچ خودکار، سرمته و چوب</t>
        </is>
      </c>
      <c r="G283" s="2" t="n">
        <v>3</v>
      </c>
      <c r="H283" s="4" t="inlineStr">
        <is>
          <t>DIN ISO 7050</t>
        </is>
      </c>
      <c r="I283" s="4" t="inlineStr">
        <is>
          <t>UNI 6955</t>
        </is>
      </c>
      <c r="J283" s="4" t="inlineStr">
        <is>
          <t>ST2.2 – ST6.3</t>
        </is>
      </c>
      <c r="K283" s="2" t="n">
        <v>8</v>
      </c>
      <c r="L283" s="4" t="inlineStr">
        <is>
          <t>فولاد گالوانیزه، استیل A2، استیل A4</t>
        </is>
      </c>
      <c r="M283" s="4" t="inlineStr">
        <is>
          <t>پیچ خودکار آلن ستاره‌ای سرخزینه</t>
        </is>
      </c>
      <c r="N283" s="2" t="n">
        <v>8</v>
      </c>
      <c r="O283" s="2" t="inlineStr">
        <is>
          <t>دارد</t>
        </is>
      </c>
      <c r="P283" s="2" t="inlineStr">
        <is>
          <t>دارد</t>
        </is>
      </c>
      <c r="Q283" s="2" t="inlineStr">
        <is>
          <t>دارد</t>
        </is>
      </c>
    </row>
    <row r="284">
      <c r="A284" s="2" t="n">
        <v>283</v>
      </c>
      <c r="B284" s="2" t="inlineStr">
        <is>
          <t>DIN</t>
        </is>
      </c>
      <c r="C284" s="3" t="inlineStr">
        <is>
          <t>DIN 7982 F</t>
        </is>
      </c>
      <c r="D284" s="4" t="inlineStr">
        <is>
          <t>پیچ خودکار چهارسو سرخزینه نوک تخت</t>
        </is>
      </c>
      <c r="E284" s="4" t="inlineStr">
        <is>
          <t>Countersunk head tapping screws, cross recess, Form F</t>
        </is>
      </c>
      <c r="F284" s="4" t="inlineStr">
        <is>
          <t>پیچ خودکار، سرمته و چوب</t>
        </is>
      </c>
      <c r="G284" s="2" t="n">
        <v>1</v>
      </c>
      <c r="H284" s="4" t="inlineStr">
        <is>
          <t>DIN ISO 7050</t>
        </is>
      </c>
      <c r="I284" s="4" t="inlineStr">
        <is>
          <t>ISO 7050، CSN 021237، UNI 6955</t>
        </is>
      </c>
      <c r="J284" s="4" t="inlineStr">
        <is>
          <t>ST2.2 – ST6.3</t>
        </is>
      </c>
      <c r="K284" s="2" t="n">
        <v>8</v>
      </c>
      <c r="L284" s="4" t="inlineStr">
        <is>
          <t>فولاد گالوانیزه، استیل A2، استیل A4</t>
        </is>
      </c>
      <c r="M284" s="4" t="inlineStr"/>
      <c r="N284" s="2" t="n">
        <v>54</v>
      </c>
      <c r="O284" s="2" t="inlineStr">
        <is>
          <t>—</t>
        </is>
      </c>
      <c r="P284" s="2" t="inlineStr">
        <is>
          <t>دارد</t>
        </is>
      </c>
      <c r="Q284" s="2" t="inlineStr">
        <is>
          <t>دارد</t>
        </is>
      </c>
    </row>
    <row r="285">
      <c r="A285" s="2" t="n">
        <v>284</v>
      </c>
      <c r="B285" s="2" t="inlineStr">
        <is>
          <t>DIN</t>
        </is>
      </c>
      <c r="C285" s="3" t="inlineStr">
        <is>
          <t>DIN 7983 C</t>
        </is>
      </c>
      <c r="D285" s="4" t="inlineStr">
        <is>
          <t>پیچ خودکار چهارسو سرخزینه عدسی</t>
        </is>
      </c>
      <c r="E285" s="4" t="inlineStr">
        <is>
          <t>Raised countersunk head tapping screws, cross recess, Form C</t>
        </is>
      </c>
      <c r="F285" s="4" t="inlineStr">
        <is>
          <t>پیچ خودکار، سرمته و چوب</t>
        </is>
      </c>
      <c r="G285" s="2" t="n">
        <v>3</v>
      </c>
      <c r="H285" s="4" t="inlineStr">
        <is>
          <t>DIN ISO 7051</t>
        </is>
      </c>
      <c r="I285" s="4" t="inlineStr">
        <is>
          <t>ISO 7051، CSN 021239، UNI 6956</t>
        </is>
      </c>
      <c r="J285" s="4" t="inlineStr">
        <is>
          <t>ST2.2 – ST6.3</t>
        </is>
      </c>
      <c r="K285" s="2" t="n">
        <v>8</v>
      </c>
      <c r="L285" s="4" t="inlineStr">
        <is>
          <t>فولاد گالوانیزه، استیل A2، استیل A4</t>
        </is>
      </c>
      <c r="M285" s="4" t="inlineStr"/>
      <c r="N285" s="2" t="n">
        <v>54</v>
      </c>
      <c r="O285" s="2" t="inlineStr">
        <is>
          <t>دارد</t>
        </is>
      </c>
      <c r="P285" s="2" t="inlineStr">
        <is>
          <t>دارد</t>
        </is>
      </c>
      <c r="Q285" s="2" t="inlineStr">
        <is>
          <t>دارد</t>
        </is>
      </c>
    </row>
    <row r="286">
      <c r="A286" s="2" t="n">
        <v>285</v>
      </c>
      <c r="B286" s="2" t="inlineStr">
        <is>
          <t>DIN</t>
        </is>
      </c>
      <c r="C286" s="3" t="inlineStr">
        <is>
          <t>DIN 7983 F</t>
        </is>
      </c>
      <c r="D286" s="4" t="inlineStr">
        <is>
          <t>پیچ خودکار چهارسو سرخزینه عدسی نوک تخت</t>
        </is>
      </c>
      <c r="E286" s="4" t="inlineStr">
        <is>
          <t>Raised countersunk head tapping screws, cross recess, Form F</t>
        </is>
      </c>
      <c r="F286" s="4" t="inlineStr">
        <is>
          <t>پیچ خودکار، سرمته و چوب</t>
        </is>
      </c>
      <c r="G286" s="2" t="n">
        <v>3</v>
      </c>
      <c r="H286" s="4" t="inlineStr">
        <is>
          <t>DIN ISO 7051</t>
        </is>
      </c>
      <c r="I286" s="4" t="inlineStr">
        <is>
          <t>ISO 7051، CSN 021239، UNI 6956</t>
        </is>
      </c>
      <c r="J286" s="4" t="inlineStr">
        <is>
          <t>ST2.2 – ST6.3</t>
        </is>
      </c>
      <c r="K286" s="2" t="n">
        <v>8</v>
      </c>
      <c r="L286" s="4" t="inlineStr">
        <is>
          <t>فولاد گالوانیزه، استیل A2، استیل A4</t>
        </is>
      </c>
      <c r="M286" s="4" t="inlineStr"/>
      <c r="N286" s="2" t="n">
        <v>54</v>
      </c>
      <c r="O286" s="2" t="inlineStr">
        <is>
          <t>—</t>
        </is>
      </c>
      <c r="P286" s="2" t="inlineStr">
        <is>
          <t>دارد</t>
        </is>
      </c>
      <c r="Q286" s="2" t="inlineStr">
        <is>
          <t>دارد</t>
        </is>
      </c>
    </row>
    <row r="287">
      <c r="A287" s="2" t="n">
        <v>286</v>
      </c>
      <c r="B287" s="2" t="inlineStr">
        <is>
          <t>DIN</t>
        </is>
      </c>
      <c r="C287" s="3" t="inlineStr">
        <is>
          <t>DIN 7983 TX</t>
        </is>
      </c>
      <c r="D287" s="4" t="inlineStr">
        <is>
          <t>پیچ خودکار تورکس سرخزینه عدسی</t>
        </is>
      </c>
      <c r="E287" s="4" t="inlineStr">
        <is>
          <t>Raised countersunk head tapping screws, TORX</t>
        </is>
      </c>
      <c r="F287" s="4" t="inlineStr">
        <is>
          <t>پیچ خودکار، سرمته و چوب</t>
        </is>
      </c>
      <c r="G287" s="2" t="n">
        <v>3</v>
      </c>
      <c r="H287" s="4" t="inlineStr">
        <is>
          <t>DIN ISO 7051</t>
        </is>
      </c>
      <c r="I287" s="4" t="inlineStr">
        <is>
          <t>UNI 6956</t>
        </is>
      </c>
      <c r="J287" s="4" t="inlineStr">
        <is>
          <t>ST2.2 – ST6.3</t>
        </is>
      </c>
      <c r="K287" s="2" t="n">
        <v>8</v>
      </c>
      <c r="L287" s="4" t="inlineStr">
        <is>
          <t>فولاد گالوانیزه، استیل A2، استیل A4</t>
        </is>
      </c>
      <c r="M287" s="4" t="inlineStr">
        <is>
          <t>پیچ خودکار آلن ستاره‌ای سرخزینه عدسی</t>
        </is>
      </c>
      <c r="N287" s="2" t="n">
        <v>0</v>
      </c>
      <c r="O287" s="2" t="inlineStr">
        <is>
          <t>دارد</t>
        </is>
      </c>
      <c r="P287" s="2" t="inlineStr">
        <is>
          <t>دارد</t>
        </is>
      </c>
      <c r="Q287" s="2" t="inlineStr">
        <is>
          <t>دارد</t>
        </is>
      </c>
    </row>
    <row r="288">
      <c r="A288" s="2" t="n">
        <v>287</v>
      </c>
      <c r="B288" s="2" t="inlineStr">
        <is>
          <t>DIN</t>
        </is>
      </c>
      <c r="C288" s="3" t="inlineStr">
        <is>
          <t>DIN 7984</t>
        </is>
      </c>
      <c r="D288" s="4" t="inlineStr">
        <is>
          <t>پیچ سر استوانه آلن سر کوتاه</t>
        </is>
      </c>
      <c r="E288" s="4" t="inlineStr">
        <is>
          <t>Hexagon socket thin head cap screws</t>
        </is>
      </c>
      <c r="F288" s="4" t="inlineStr">
        <is>
          <t>پیچ آلن و تورکس</t>
        </is>
      </c>
      <c r="G288" s="2" t="n">
        <v>1</v>
      </c>
      <c r="H288" s="4" t="inlineStr">
        <is>
          <t>DIN 7984</t>
        </is>
      </c>
      <c r="I288" s="4" t="inlineStr">
        <is>
          <t>UNI 9327</t>
        </is>
      </c>
      <c r="J288" s="4" t="inlineStr">
        <is>
          <t>M3 – M24</t>
        </is>
      </c>
      <c r="K288" s="2" t="n">
        <v>13</v>
      </c>
      <c r="L288" s="4" t="inlineStr">
        <is>
          <t>فولاد 8.8، فولاد 10.9، فولاد 12.9، استیل A2-70، استیل A4-70، سوپرآلیاژها و گریدهای نسوز</t>
        </is>
      </c>
      <c r="M288" s="4" t="inlineStr">
        <is>
          <t>پیچ آلن گل کوتاه</t>
        </is>
      </c>
      <c r="N288" s="2" t="n">
        <v>124</v>
      </c>
      <c r="O288" s="2" t="inlineStr">
        <is>
          <t>دارد</t>
        </is>
      </c>
      <c r="P288" s="2" t="inlineStr">
        <is>
          <t>دارد</t>
        </is>
      </c>
      <c r="Q288" s="2" t="inlineStr">
        <is>
          <t>دارد</t>
        </is>
      </c>
    </row>
    <row r="289">
      <c r="A289" s="2" t="n">
        <v>288</v>
      </c>
      <c r="B289" s="2" t="inlineStr">
        <is>
          <t>DIN</t>
        </is>
      </c>
      <c r="C289" s="3" t="inlineStr">
        <is>
          <t>DIN 7984 TX</t>
        </is>
      </c>
      <c r="D289" s="4" t="inlineStr">
        <is>
          <t>پیچ سر استوانه تورکس سر کوتاه</t>
        </is>
      </c>
      <c r="E289" s="4" t="inlineStr">
        <is>
          <t>Hexalobular (TORX) socket cap screws, low head</t>
        </is>
      </c>
      <c r="F289" s="4" t="inlineStr">
        <is>
          <t>پیچ آلن و تورکس</t>
        </is>
      </c>
      <c r="G289" s="2" t="n">
        <v>2</v>
      </c>
      <c r="H289" s="4" t="inlineStr">
        <is>
          <t>DIN 7984</t>
        </is>
      </c>
      <c r="I289" s="4" t="inlineStr">
        <is>
          <t>UNI 9327</t>
        </is>
      </c>
      <c r="J289" s="4" t="inlineStr">
        <is>
          <t>M3 – M24</t>
        </is>
      </c>
      <c r="K289" s="2" t="n">
        <v>10</v>
      </c>
      <c r="L289" s="4" t="inlineStr">
        <is>
          <t>فولاد 8.8، فولاد 10.9، فولاد 12.9، استیل A2-70، استیل A4-70، سوپرآلیاژها و گریدهای نسوز</t>
        </is>
      </c>
      <c r="M289" s="4" t="inlineStr">
        <is>
          <t>پیچ آلن ستاره‌ای گل کوتاه</t>
        </is>
      </c>
      <c r="N289" s="2" t="n">
        <v>0</v>
      </c>
      <c r="O289" s="2" t="inlineStr">
        <is>
          <t>دارد</t>
        </is>
      </c>
      <c r="P289" s="2" t="inlineStr">
        <is>
          <t>دارد</t>
        </is>
      </c>
      <c r="Q289" s="2" t="inlineStr">
        <is>
          <t>دارد</t>
        </is>
      </c>
    </row>
    <row r="290">
      <c r="A290" s="2" t="n">
        <v>289</v>
      </c>
      <c r="B290" s="2" t="inlineStr">
        <is>
          <t>DIN</t>
        </is>
      </c>
      <c r="C290" s="3" t="inlineStr">
        <is>
          <t>DIN 7985</t>
        </is>
      </c>
      <c r="D290" s="4" t="inlineStr">
        <is>
          <t>پیچ چهارسو سر عدسی</t>
        </is>
      </c>
      <c r="E290" s="4" t="inlineStr">
        <is>
          <t>Cross recessed raised cheese head screws</t>
        </is>
      </c>
      <c r="F290" s="4" t="inlineStr">
        <is>
          <t>پیچ دوسو و چهارسو</t>
        </is>
      </c>
      <c r="G290" s="2" t="n">
        <v>1</v>
      </c>
      <c r="H290" s="4" t="inlineStr">
        <is>
          <t>DIN EN ISO 7045</t>
        </is>
      </c>
      <c r="I290" s="4" t="inlineStr">
        <is>
          <t>ISO 7045، CSN 021147، PN 82202، UNI 7687</t>
        </is>
      </c>
      <c r="J290" s="4" t="inlineStr">
        <is>
          <t>M1.6 – M10</t>
        </is>
      </c>
      <c r="K290" s="2" t="n">
        <v>10</v>
      </c>
      <c r="L290" s="4" t="inlineStr">
        <is>
          <t>فولاد 4.8، فولاد 5.8، استیل A2-70، استیل A4-70</t>
        </is>
      </c>
      <c r="M290" s="4" t="inlineStr">
        <is>
          <t>پیچ سر استوانه چهارسو</t>
        </is>
      </c>
      <c r="N290" s="2" t="n">
        <v>119</v>
      </c>
      <c r="O290" s="2" t="inlineStr">
        <is>
          <t>دارد</t>
        </is>
      </c>
      <c r="P290" s="2" t="inlineStr">
        <is>
          <t>دارد</t>
        </is>
      </c>
      <c r="Q290" s="2" t="inlineStr">
        <is>
          <t>دارد</t>
        </is>
      </c>
    </row>
    <row r="291">
      <c r="A291" s="2" t="n">
        <v>290</v>
      </c>
      <c r="B291" s="2" t="inlineStr">
        <is>
          <t>DIN</t>
        </is>
      </c>
      <c r="C291" s="3" t="inlineStr">
        <is>
          <t>DIN 7985 PZ</t>
        </is>
      </c>
      <c r="D291" s="4" t="inlineStr">
        <is>
          <t>پیچ پوزی درایو سر عدسی</t>
        </is>
      </c>
      <c r="E291" s="4" t="inlineStr">
        <is>
          <t>Raised cheese head screws, Pozidriv</t>
        </is>
      </c>
      <c r="F291" s="4" t="inlineStr">
        <is>
          <t>پیچ دوسو و چهارسو</t>
        </is>
      </c>
      <c r="G291" s="2" t="n">
        <v>2</v>
      </c>
      <c r="H291" s="4" t="inlineStr">
        <is>
          <t>DIN EN ISO 7045</t>
        </is>
      </c>
      <c r="I291" s="4" t="inlineStr">
        <is>
          <t>UNI 7687</t>
        </is>
      </c>
      <c r="J291" s="4" t="inlineStr">
        <is>
          <t>M1.4 – M6</t>
        </is>
      </c>
      <c r="K291" s="2" t="n">
        <v>8</v>
      </c>
      <c r="L291" s="4" t="inlineStr">
        <is>
          <t>فولاد 4.8، فولاد 5.8، استیل A2-70، استیل A4-70</t>
        </is>
      </c>
      <c r="M291" s="4" t="inlineStr">
        <is>
          <t>پیچ سر عدسی چهارسو</t>
        </is>
      </c>
      <c r="N291" s="2" t="n">
        <v>0</v>
      </c>
      <c r="O291" s="2" t="inlineStr">
        <is>
          <t>دارد</t>
        </is>
      </c>
      <c r="P291" s="2" t="inlineStr">
        <is>
          <t>دارد</t>
        </is>
      </c>
      <c r="Q291" s="2" t="inlineStr">
        <is>
          <t>دارد</t>
        </is>
      </c>
    </row>
    <row r="292">
      <c r="A292" s="2" t="n">
        <v>291</v>
      </c>
      <c r="B292" s="2" t="inlineStr">
        <is>
          <t>DIN</t>
        </is>
      </c>
      <c r="C292" s="3" t="inlineStr">
        <is>
          <t>DIN 7985 TX</t>
        </is>
      </c>
      <c r="D292" s="4" t="inlineStr">
        <is>
          <t>پیچ تورکس سر عدسی</t>
        </is>
      </c>
      <c r="E292" s="4" t="inlineStr">
        <is>
          <t>Raised cheese head screws, TORX</t>
        </is>
      </c>
      <c r="F292" s="4" t="inlineStr">
        <is>
          <t>پیچ دوسو و چهارسو</t>
        </is>
      </c>
      <c r="G292" s="2" t="n">
        <v>2</v>
      </c>
      <c r="H292" s="4" t="inlineStr">
        <is>
          <t>DIN EN ISO 7045</t>
        </is>
      </c>
      <c r="I292" s="4" t="inlineStr">
        <is>
          <t>UNI 7687</t>
        </is>
      </c>
      <c r="J292" s="4" t="inlineStr">
        <is>
          <t>M1.4 – M8</t>
        </is>
      </c>
      <c r="K292" s="2" t="n">
        <v>9</v>
      </c>
      <c r="L292" s="4" t="inlineStr">
        <is>
          <t>فولاد 4.8، فولاد 5.8، استیل A2-70، استیل A4-70</t>
        </is>
      </c>
      <c r="M292" s="4" t="inlineStr">
        <is>
          <t>پیچ سر عدسی آلن ستاره‌ای</t>
        </is>
      </c>
      <c r="N292" s="2" t="n">
        <v>0</v>
      </c>
      <c r="O292" s="2" t="inlineStr">
        <is>
          <t>دارد</t>
        </is>
      </c>
      <c r="P292" s="2" t="inlineStr">
        <is>
          <t>دارد</t>
        </is>
      </c>
      <c r="Q292" s="2" t="inlineStr">
        <is>
          <t>دارد</t>
        </is>
      </c>
    </row>
    <row r="293">
      <c r="A293" s="2" t="n">
        <v>292</v>
      </c>
      <c r="B293" s="2" t="inlineStr">
        <is>
          <t>DIN</t>
        </is>
      </c>
      <c r="C293" s="3" t="inlineStr">
        <is>
          <t>DIN 7989</t>
        </is>
      </c>
      <c r="D293" s="4" t="inlineStr">
        <is>
          <t>واشر سازه‌ای فولادی</t>
        </is>
      </c>
      <c r="E293" s="4" t="inlineStr">
        <is>
          <t>Washers for steel constructions</t>
        </is>
      </c>
      <c r="F293" s="4" t="inlineStr">
        <is>
          <t>واشر</t>
        </is>
      </c>
      <c r="G293" s="2" t="n">
        <v>3</v>
      </c>
      <c r="H293" s="4" t="inlineStr">
        <is>
          <t>DIN 7989-2</t>
        </is>
      </c>
      <c r="I293" s="4" t="inlineStr">
        <is>
          <t>CSN 021708</t>
        </is>
      </c>
      <c r="J293" s="4" t="inlineStr">
        <is>
          <t>M10 – M30</t>
        </is>
      </c>
      <c r="K293" s="2" t="n">
        <v>7</v>
      </c>
      <c r="L293" s="4" t="inlineStr">
        <is>
          <t>فولاد کربنی ساده یا گالوانیزه</t>
        </is>
      </c>
      <c r="M293" s="4" t="inlineStr">
        <is>
          <t>واشر تخت مخصوص سازه های فولادی، واشر سازه‌ای ضخیم</t>
        </is>
      </c>
      <c r="N293" s="2" t="n">
        <v>7</v>
      </c>
      <c r="O293" s="2" t="inlineStr">
        <is>
          <t>دارد</t>
        </is>
      </c>
      <c r="P293" s="2" t="inlineStr">
        <is>
          <t>دارد</t>
        </is>
      </c>
      <c r="Q293" s="2" t="inlineStr">
        <is>
          <t>دارد</t>
        </is>
      </c>
    </row>
    <row r="294">
      <c r="A294" s="2" t="n">
        <v>293</v>
      </c>
      <c r="B294" s="2" t="inlineStr">
        <is>
          <t>DIN</t>
        </is>
      </c>
      <c r="C294" s="3" t="inlineStr">
        <is>
          <t>DIN 7990</t>
        </is>
      </c>
      <c r="D294" s="4" t="inlineStr">
        <is>
          <t>پیچ سر شش‌گوش سازه‌ای</t>
        </is>
      </c>
      <c r="E294" s="4" t="inlineStr">
        <is>
          <t>Hexagon head bolts for steel structures</t>
        </is>
      </c>
      <c r="F294" s="4" t="inlineStr">
        <is>
          <t>پیچ شش‌گوش</t>
        </is>
      </c>
      <c r="G294" s="2" t="n">
        <v>3</v>
      </c>
      <c r="H294" s="4" t="inlineStr">
        <is>
          <t>DIN 7990</t>
        </is>
      </c>
      <c r="I294" s="4" t="inlineStr">
        <is>
          <t>CSN 021308</t>
        </is>
      </c>
      <c r="J294" s="4" t="inlineStr">
        <is>
          <t>M12 – M30</t>
        </is>
      </c>
      <c r="K294" s="2" t="n">
        <v>7</v>
      </c>
      <c r="L294" s="4" t="inlineStr">
        <is>
          <t>فولاد 4.6، فولاد 5.6</t>
        </is>
      </c>
      <c r="M294" s="4" t="inlineStr"/>
      <c r="N294" s="2" t="n">
        <v>190</v>
      </c>
      <c r="O294" s="2" t="inlineStr">
        <is>
          <t>دارد</t>
        </is>
      </c>
      <c r="P294" s="2" t="inlineStr">
        <is>
          <t>دارد</t>
        </is>
      </c>
      <c r="Q294" s="2" t="inlineStr">
        <is>
          <t>دارد</t>
        </is>
      </c>
    </row>
    <row r="295">
      <c r="A295" s="2" t="n">
        <v>294</v>
      </c>
      <c r="B295" s="2" t="inlineStr">
        <is>
          <t>DIN</t>
        </is>
      </c>
      <c r="C295" s="3" t="inlineStr">
        <is>
          <t>DIN 7991</t>
        </is>
      </c>
      <c r="D295" s="4" t="inlineStr">
        <is>
          <t>پیچ آلن سرخزینه</t>
        </is>
      </c>
      <c r="E295" s="4" t="inlineStr">
        <is>
          <t>Hexagon socket countersunk head cap screws</t>
        </is>
      </c>
      <c r="F295" s="4" t="inlineStr">
        <is>
          <t>پیچ آلن و تورکس</t>
        </is>
      </c>
      <c r="G295" s="2" t="n">
        <v>1</v>
      </c>
      <c r="H295" s="4" t="inlineStr">
        <is>
          <t>DIN EN ISO 10462</t>
        </is>
      </c>
      <c r="I295" s="4" t="inlineStr">
        <is>
          <t>ISO 10642، UNI 5933</t>
        </is>
      </c>
      <c r="J295" s="4" t="inlineStr">
        <is>
          <t>M3 – M20</t>
        </is>
      </c>
      <c r="K295" s="2" t="n">
        <v>9</v>
      </c>
      <c r="L295" s="4" t="inlineStr">
        <is>
          <t>فولاد 8.8، فولاد 10.9، فولاد 12.9، استیل A2-70، استیل A4-70، سوپرآلیاژها و گریدهای نسوز</t>
        </is>
      </c>
      <c r="M295" s="4" t="inlineStr"/>
      <c r="N295" s="2" t="n">
        <v>480</v>
      </c>
      <c r="O295" s="2" t="inlineStr">
        <is>
          <t>دارد</t>
        </is>
      </c>
      <c r="P295" s="2" t="inlineStr">
        <is>
          <t>دارد</t>
        </is>
      </c>
      <c r="Q295" s="2" t="inlineStr">
        <is>
          <t>دارد</t>
        </is>
      </c>
    </row>
    <row r="296">
      <c r="A296" s="2" t="n">
        <v>295</v>
      </c>
      <c r="B296" s="2" t="inlineStr">
        <is>
          <t>DIN</t>
        </is>
      </c>
      <c r="C296" s="3" t="inlineStr">
        <is>
          <t>DIN 7991 TX</t>
        </is>
      </c>
      <c r="D296" s="4" t="inlineStr">
        <is>
          <t>پیچ تورکس سرخزینه</t>
        </is>
      </c>
      <c r="E296" s="4" t="inlineStr">
        <is>
          <t>Countersunk head screws, TORX</t>
        </is>
      </c>
      <c r="F296" s="4" t="inlineStr">
        <is>
          <t>پیچ آلن و تورکس</t>
        </is>
      </c>
      <c r="G296" s="2" t="n">
        <v>2</v>
      </c>
      <c r="H296" s="4" t="inlineStr">
        <is>
          <t>DIN EN ISO 10642</t>
        </is>
      </c>
      <c r="I296" s="4" t="inlineStr">
        <is>
          <t>ISO 10642، UNI 5933</t>
        </is>
      </c>
      <c r="J296" s="4" t="inlineStr">
        <is>
          <t>M3 – M20</t>
        </is>
      </c>
      <c r="K296" s="2" t="n">
        <v>9</v>
      </c>
      <c r="L296" s="4" t="inlineStr">
        <is>
          <t>فولاد 8.8، فولاد 10.9، فولاد 12.9، استیل A2-70، استیل A4-70، سوپرآلیاژها و گریدهای نسوز</t>
        </is>
      </c>
      <c r="M296" s="4" t="inlineStr">
        <is>
          <t>پیچ آلن ستاره‌ای خزینه</t>
        </is>
      </c>
      <c r="N296" s="2" t="n">
        <v>0</v>
      </c>
      <c r="O296" s="2" t="inlineStr">
        <is>
          <t>دارد</t>
        </is>
      </c>
      <c r="P296" s="2" t="inlineStr">
        <is>
          <t>دارد</t>
        </is>
      </c>
      <c r="Q296" s="2" t="inlineStr">
        <is>
          <t>دارد</t>
        </is>
      </c>
    </row>
    <row r="297">
      <c r="A297" s="2" t="n">
        <v>296</v>
      </c>
      <c r="B297" s="2" t="inlineStr">
        <is>
          <t>DIN</t>
        </is>
      </c>
      <c r="C297" s="3" t="inlineStr">
        <is>
          <t>DIN 7992</t>
        </is>
      </c>
      <c r="D297" s="4" t="inlineStr">
        <is>
          <t>پیچ سر T بزرگ</t>
        </is>
      </c>
      <c r="E297" s="4" t="inlineStr">
        <is>
          <t>T-head bolts with large head</t>
        </is>
      </c>
      <c r="F297" s="4" t="inlineStr">
        <is>
          <t>پیچ سرخاص و کالسکه</t>
        </is>
      </c>
      <c r="G297" s="2" t="n">
        <v>3</v>
      </c>
      <c r="H297" s="4" t="inlineStr">
        <is>
          <t>DIN 7992</t>
        </is>
      </c>
      <c r="I297" s="4" t="inlineStr">
        <is>
          <t>PN 85061</t>
        </is>
      </c>
      <c r="J297" s="4" t="inlineStr">
        <is>
          <t>M24 – M100</t>
        </is>
      </c>
      <c r="K297" s="2" t="n">
        <v>11</v>
      </c>
      <c r="L297" s="4" t="inlineStr"/>
      <c r="M297" s="4" t="inlineStr">
        <is>
          <t>پیچ سر چکشی شیار T، T بولت</t>
        </is>
      </c>
      <c r="N297" s="2" t="n">
        <v>11</v>
      </c>
      <c r="O297" s="2" t="inlineStr">
        <is>
          <t>دارد</t>
        </is>
      </c>
      <c r="P297" s="2" t="inlineStr">
        <is>
          <t>دارد</t>
        </is>
      </c>
      <c r="Q297" s="2" t="inlineStr">
        <is>
          <t>دارد</t>
        </is>
      </c>
    </row>
    <row r="298">
      <c r="A298" s="2" t="n">
        <v>297</v>
      </c>
      <c r="B298" s="2" t="inlineStr">
        <is>
          <t>DIN</t>
        </is>
      </c>
      <c r="C298" s="3" t="inlineStr">
        <is>
          <t>DIN 7993 A</t>
        </is>
      </c>
      <c r="D298" s="4" t="inlineStr">
        <is>
          <t>خار فنری محور (سیمی)</t>
        </is>
      </c>
      <c r="E298" s="4" t="inlineStr">
        <is>
          <t>Snap rings</t>
        </is>
      </c>
      <c r="F298" s="4" t="inlineStr">
        <is>
          <t>خار</t>
        </is>
      </c>
      <c r="G298" s="2" t="n">
        <v>3</v>
      </c>
      <c r="H298" s="4" t="inlineStr">
        <is>
          <t>DIN 7993</t>
        </is>
      </c>
      <c r="I298" s="4" t="inlineStr">
        <is>
          <t>CSN 022924، UNI 7433</t>
        </is>
      </c>
      <c r="J298" s="4" t="inlineStr">
        <is>
          <t>4 – 125</t>
        </is>
      </c>
      <c r="K298" s="2" t="n">
        <v>40</v>
      </c>
      <c r="L298" s="4" t="inlineStr">
        <is>
          <t>فولاد فنری سخت‌کاری‌شده، استیل 1.4310</t>
        </is>
      </c>
      <c r="M298" s="4" t="inlineStr">
        <is>
          <t>خار فنری گرد سیمی بیرونی مخصوص شفت</t>
        </is>
      </c>
      <c r="N298" s="2" t="n">
        <v>40</v>
      </c>
      <c r="O298" s="2" t="inlineStr">
        <is>
          <t>دارد</t>
        </is>
      </c>
      <c r="P298" s="2" t="inlineStr">
        <is>
          <t>دارد</t>
        </is>
      </c>
      <c r="Q298" s="2" t="inlineStr">
        <is>
          <t>دارد</t>
        </is>
      </c>
    </row>
    <row r="299">
      <c r="A299" s="2" t="n">
        <v>298</v>
      </c>
      <c r="B299" s="2" t="inlineStr">
        <is>
          <t>DIN</t>
        </is>
      </c>
      <c r="C299" s="3" t="inlineStr">
        <is>
          <t>DIN 7993 B</t>
        </is>
      </c>
      <c r="D299" s="4" t="inlineStr">
        <is>
          <t>خار فنری سوراخ (سیمی)</t>
        </is>
      </c>
      <c r="E299" s="4" t="inlineStr">
        <is>
          <t>Internal Snap Ring</t>
        </is>
      </c>
      <c r="F299" s="4" t="inlineStr">
        <is>
          <t>خار</t>
        </is>
      </c>
      <c r="G299" s="2" t="n">
        <v>3</v>
      </c>
      <c r="H299" s="4" t="inlineStr">
        <is>
          <t>DIN 7993</t>
        </is>
      </c>
      <c r="I299" s="4" t="inlineStr">
        <is>
          <t>CSN 022924، UNI 7433</t>
        </is>
      </c>
      <c r="J299" s="4" t="inlineStr">
        <is>
          <t>7 – 125</t>
        </is>
      </c>
      <c r="K299" s="2" t="n">
        <v>37</v>
      </c>
      <c r="L299" s="4" t="inlineStr">
        <is>
          <t>فولاد فنری سخت‌کاری‌شده، استیل 1.4310</t>
        </is>
      </c>
      <c r="M299" s="4" t="inlineStr">
        <is>
          <t>خار فنری گرد سیمی داخلی مخصوص شفت</t>
        </is>
      </c>
      <c r="N299" s="2" t="n">
        <v>37</v>
      </c>
      <c r="O299" s="2" t="inlineStr">
        <is>
          <t>دارد</t>
        </is>
      </c>
      <c r="P299" s="2" t="inlineStr">
        <is>
          <t>دارد</t>
        </is>
      </c>
      <c r="Q299" s="2" t="inlineStr">
        <is>
          <t>دارد</t>
        </is>
      </c>
    </row>
    <row r="300">
      <c r="A300" s="2" t="n">
        <v>299</v>
      </c>
      <c r="B300" s="2" t="inlineStr">
        <is>
          <t>DIN</t>
        </is>
      </c>
      <c r="C300" s="3" t="inlineStr">
        <is>
          <t>DIN 7995</t>
        </is>
      </c>
      <c r="D300" s="4" t="inlineStr">
        <is>
          <t>پیچ چوب چهارسو سرخزینه عدسی</t>
        </is>
      </c>
      <c r="E300" s="4" t="inlineStr">
        <is>
          <t>Cross recessed raised countersunk head wood screws</t>
        </is>
      </c>
      <c r="F300" s="4" t="inlineStr">
        <is>
          <t>پیچ خودکار، سرمته و چوب</t>
        </is>
      </c>
      <c r="G300" s="2" t="n">
        <v>3</v>
      </c>
      <c r="H300" s="4" t="inlineStr">
        <is>
          <t>DIN 7995</t>
        </is>
      </c>
      <c r="I300" s="4" t="inlineStr">
        <is>
          <t>CSN 021826، PN 82504، UNI 8182</t>
        </is>
      </c>
      <c r="J300" s="4" t="inlineStr">
        <is>
          <t>3 – 6</t>
        </is>
      </c>
      <c r="K300" s="2" t="n">
        <v>6</v>
      </c>
      <c r="L300" s="4" t="inlineStr">
        <is>
          <t>فولاد گالوانیزه، استیل A2، استیل A4</t>
        </is>
      </c>
      <c r="M300" s="4" t="inlineStr"/>
      <c r="N300" s="2" t="n">
        <v>0</v>
      </c>
      <c r="O300" s="2" t="inlineStr">
        <is>
          <t>دارد</t>
        </is>
      </c>
      <c r="P300" s="2" t="inlineStr">
        <is>
          <t>دارد</t>
        </is>
      </c>
      <c r="Q300" s="2" t="inlineStr">
        <is>
          <t>دارد</t>
        </is>
      </c>
    </row>
    <row r="301">
      <c r="A301" s="2" t="n">
        <v>300</v>
      </c>
      <c r="B301" s="2" t="inlineStr">
        <is>
          <t>DIN</t>
        </is>
      </c>
      <c r="C301" s="3" t="inlineStr">
        <is>
          <t>DIN 7996</t>
        </is>
      </c>
      <c r="D301" s="4" t="inlineStr">
        <is>
          <t>پیچ چوب چهارسو سر عدسی</t>
        </is>
      </c>
      <c r="E301" s="4" t="inlineStr">
        <is>
          <t>Cross recessed pan head wood screws</t>
        </is>
      </c>
      <c r="F301" s="4" t="inlineStr">
        <is>
          <t>پیچ خودکار، سرمته و چوب</t>
        </is>
      </c>
      <c r="G301" s="2" t="n">
        <v>3</v>
      </c>
      <c r="H301" s="4" t="inlineStr">
        <is>
          <t>DIN 7996</t>
        </is>
      </c>
      <c r="I301" s="4" t="inlineStr">
        <is>
          <t>CSN 021822، PN 82505، UNI 8180</t>
        </is>
      </c>
      <c r="J301" s="4" t="inlineStr">
        <is>
          <t>3 – 6</t>
        </is>
      </c>
      <c r="K301" s="2" t="n">
        <v>6</v>
      </c>
      <c r="L301" s="4" t="inlineStr">
        <is>
          <t>فولاد گالوانیزه، استیل A2، استیل A4</t>
        </is>
      </c>
      <c r="M301" s="4" t="inlineStr"/>
      <c r="N301" s="2" t="n">
        <v>0</v>
      </c>
      <c r="O301" s="2" t="inlineStr">
        <is>
          <t>دارد</t>
        </is>
      </c>
      <c r="P301" s="2" t="inlineStr">
        <is>
          <t>دارد</t>
        </is>
      </c>
      <c r="Q301" s="2" t="inlineStr">
        <is>
          <t>دارد</t>
        </is>
      </c>
    </row>
    <row r="302">
      <c r="A302" s="2" t="n">
        <v>301</v>
      </c>
      <c r="B302" s="2" t="inlineStr">
        <is>
          <t>DIN</t>
        </is>
      </c>
      <c r="C302" s="3" t="inlineStr">
        <is>
          <t>DIN 7997</t>
        </is>
      </c>
      <c r="D302" s="4" t="inlineStr">
        <is>
          <t>پیچ چوب چهارسو سرخزینه</t>
        </is>
      </c>
      <c r="E302" s="4" t="inlineStr">
        <is>
          <t>Cross recessed countersunk head wood screws</t>
        </is>
      </c>
      <c r="F302" s="4" t="inlineStr">
        <is>
          <t>پیچ خودکار، سرمته و چوب</t>
        </is>
      </c>
      <c r="G302" s="2" t="n">
        <v>1</v>
      </c>
      <c r="H302" s="4" t="inlineStr">
        <is>
          <t>DIN 7997</t>
        </is>
      </c>
      <c r="I302" s="4" t="inlineStr">
        <is>
          <t>CSN 021824، PN 82503، UNI 8181</t>
        </is>
      </c>
      <c r="J302" s="4" t="inlineStr">
        <is>
          <t>3 – 6</t>
        </is>
      </c>
      <c r="K302" s="2" t="n">
        <v>6</v>
      </c>
      <c r="L302" s="4" t="inlineStr">
        <is>
          <t>فولاد گالوانیزه، استیل A2، استیل A4</t>
        </is>
      </c>
      <c r="M302" s="4" t="inlineStr"/>
      <c r="N302" s="2" t="n">
        <v>0</v>
      </c>
      <c r="O302" s="2" t="inlineStr">
        <is>
          <t>دارد</t>
        </is>
      </c>
      <c r="P302" s="2" t="inlineStr">
        <is>
          <t>دارد</t>
        </is>
      </c>
      <c r="Q302" s="2" t="inlineStr">
        <is>
          <t>دارد</t>
        </is>
      </c>
    </row>
    <row r="303">
      <c r="A303" s="2" t="n">
        <v>302</v>
      </c>
      <c r="B303" s="2" t="inlineStr">
        <is>
          <t>DIN</t>
        </is>
      </c>
      <c r="C303" s="3" t="inlineStr">
        <is>
          <t>DIN 7999</t>
        </is>
      </c>
      <c r="D303" s="4" t="inlineStr">
        <is>
          <t>پیچ جازن پراستحکام سازه (HV)</t>
        </is>
      </c>
      <c r="E303" s="4" t="inlineStr">
        <is>
          <t>High-strength hexagon fit bolts for structural steel (HV)</t>
        </is>
      </c>
      <c r="F303" s="4" t="inlineStr">
        <is>
          <t>پیچ شش‌گوش</t>
        </is>
      </c>
      <c r="G303" s="2" t="n">
        <v>3</v>
      </c>
      <c r="H303" s="4" t="inlineStr">
        <is>
          <t>DIN EN 14399-8</t>
        </is>
      </c>
      <c r="I303" s="4" t="inlineStr"/>
      <c r="J303" s="4" t="inlineStr">
        <is>
          <t>M12 – M36</t>
        </is>
      </c>
      <c r="K303" s="2" t="n">
        <v>8</v>
      </c>
      <c r="L303" s="4" t="inlineStr">
        <is>
          <t>فولاد 10.9 HV (سازه‌ای)</t>
        </is>
      </c>
      <c r="M303" s="4" t="inlineStr">
        <is>
          <t>پیچ فیت HV سر شش‌گوش گل درشت سازه‌ای</t>
        </is>
      </c>
      <c r="N303" s="2" t="n">
        <v>0</v>
      </c>
      <c r="O303" s="2" t="inlineStr">
        <is>
          <t>دارد</t>
        </is>
      </c>
      <c r="P303" s="2" t="inlineStr">
        <is>
          <t>دارد</t>
        </is>
      </c>
      <c r="Q303" s="2" t="inlineStr">
        <is>
          <t>دارد</t>
        </is>
      </c>
    </row>
    <row r="304">
      <c r="A304" s="2" t="n">
        <v>303</v>
      </c>
      <c r="B304" s="2" t="inlineStr">
        <is>
          <t>DIN</t>
        </is>
      </c>
      <c r="C304" s="3" t="inlineStr">
        <is>
          <t>DIN 8140 A</t>
        </is>
      </c>
      <c r="D304" s="4" t="inlineStr">
        <is>
          <t>رزوه پوش (هلی کویل) معمولی</t>
        </is>
      </c>
      <c r="E304" s="4" t="inlineStr">
        <is>
          <t>Wire thread inserts, free-running</t>
        </is>
      </c>
      <c r="F304" s="4" t="inlineStr">
        <is>
          <t>سایر اتصالات و یراق</t>
        </is>
      </c>
      <c r="G304" s="2" t="n">
        <v>1</v>
      </c>
      <c r="H304" s="4" t="inlineStr"/>
      <c r="I304" s="4" t="inlineStr"/>
      <c r="J304" s="4" t="inlineStr">
        <is>
          <t>M4 – M20</t>
        </is>
      </c>
      <c r="K304" s="2" t="n">
        <v>8</v>
      </c>
      <c r="L304" s="4" t="inlineStr">
        <is>
          <t>استیل A2، استیل A4</t>
        </is>
      </c>
      <c r="M304" s="4" t="inlineStr">
        <is>
          <t>فنر رزوه‌ای ترمیم دنده</t>
        </is>
      </c>
      <c r="N304" s="2" t="n">
        <v>34</v>
      </c>
      <c r="O304" s="2" t="inlineStr">
        <is>
          <t>دارد</t>
        </is>
      </c>
      <c r="P304" s="2" t="inlineStr">
        <is>
          <t>دارد</t>
        </is>
      </c>
      <c r="Q304" s="2" t="inlineStr">
        <is>
          <t>دارد</t>
        </is>
      </c>
    </row>
    <row r="305">
      <c r="A305" s="2" t="n">
        <v>304</v>
      </c>
      <c r="B305" s="2" t="inlineStr">
        <is>
          <t>DIN</t>
        </is>
      </c>
      <c r="C305" s="3" t="inlineStr">
        <is>
          <t>DIN 8140 B</t>
        </is>
      </c>
      <c r="D305" s="4" t="inlineStr">
        <is>
          <t>رزوه پوش (هلی کویل) قفلی</t>
        </is>
      </c>
      <c r="E305" s="4" t="inlineStr">
        <is>
          <t>Wire thread inserts, screw-locking</t>
        </is>
      </c>
      <c r="F305" s="4" t="inlineStr">
        <is>
          <t>سایر اتصالات و یراق</t>
        </is>
      </c>
      <c r="G305" s="2" t="n">
        <v>1</v>
      </c>
      <c r="H305" s="4" t="inlineStr"/>
      <c r="I305" s="4" t="inlineStr"/>
      <c r="J305" s="4" t="inlineStr">
        <is>
          <t>M4 – M20</t>
        </is>
      </c>
      <c r="K305" s="2" t="n">
        <v>8</v>
      </c>
      <c r="L305" s="4" t="inlineStr">
        <is>
          <t>استیل A2، استیل A4</t>
        </is>
      </c>
      <c r="M305" s="4" t="inlineStr">
        <is>
          <t>فنر رزوه‌ای ترمیم دنده باپیچش آزاد</t>
        </is>
      </c>
      <c r="N305" s="2" t="n">
        <v>34</v>
      </c>
      <c r="O305" s="2" t="inlineStr">
        <is>
          <t>دارد</t>
        </is>
      </c>
      <c r="P305" s="2" t="inlineStr">
        <is>
          <t>دارد</t>
        </is>
      </c>
      <c r="Q305" s="2" t="inlineStr">
        <is>
          <t>دارد</t>
        </is>
      </c>
    </row>
    <row r="306">
      <c r="A306" s="2" t="n">
        <v>305</v>
      </c>
      <c r="B306" s="2" t="inlineStr">
        <is>
          <t>DIN</t>
        </is>
      </c>
      <c r="C306" s="3" t="inlineStr">
        <is>
          <t>DIN 9021</t>
        </is>
      </c>
      <c r="D306" s="4" t="inlineStr">
        <is>
          <t>واشر تخت پهن (3d)</t>
        </is>
      </c>
      <c r="E306" s="4" t="inlineStr">
        <is>
          <t>Plain washer, outer diameter about 3 d</t>
        </is>
      </c>
      <c r="F306" s="4" t="inlineStr">
        <is>
          <t>واشر</t>
        </is>
      </c>
      <c r="G306" s="2" t="n">
        <v>2</v>
      </c>
      <c r="H306" s="4" t="inlineStr">
        <is>
          <t>DIN EN ISO 7093-1</t>
        </is>
      </c>
      <c r="I306" s="4" t="inlineStr">
        <is>
          <t>ISO 7093، CSN 021726، PN 82030، UNI 6593</t>
        </is>
      </c>
      <c r="J306" s="4" t="inlineStr">
        <is>
          <t>M2.5 – M36</t>
        </is>
      </c>
      <c r="K306" s="2" t="n">
        <v>17</v>
      </c>
      <c r="L306" s="4" t="inlineStr">
        <is>
          <t>فولاد کربنی ساده یا گالوانیزه، استیل A2، استیل A4</t>
        </is>
      </c>
      <c r="M306" s="4" t="inlineStr"/>
      <c r="N306" s="2" t="n">
        <v>17</v>
      </c>
      <c r="O306" s="2" t="inlineStr">
        <is>
          <t>دارد</t>
        </is>
      </c>
      <c r="P306" s="2" t="inlineStr">
        <is>
          <t>دارد</t>
        </is>
      </c>
      <c r="Q306" s="2" t="inlineStr">
        <is>
          <t>دارد</t>
        </is>
      </c>
    </row>
    <row r="307">
      <c r="A307" s="2" t="n">
        <v>306</v>
      </c>
      <c r="B307" s="2" t="inlineStr">
        <is>
          <t>DIN</t>
        </is>
      </c>
      <c r="C307" s="3" t="inlineStr">
        <is>
          <t>DIN 11014</t>
        </is>
      </c>
      <c r="D307" s="4" t="inlineStr">
        <is>
          <t>پیچ گاوآهن دوزائده با مهره</t>
        </is>
      </c>
      <c r="E307" s="4" t="inlineStr">
        <is>
          <t>Plough bolts with 2 nibs with nuts</t>
        </is>
      </c>
      <c r="F307" s="4" t="inlineStr">
        <is>
          <t>پیچ سرخاص و کالسکه</t>
        </is>
      </c>
      <c r="G307" s="2" t="n">
        <v>3</v>
      </c>
      <c r="H307" s="4" t="inlineStr">
        <is>
          <t>DIN 11014</t>
        </is>
      </c>
      <c r="I307" s="4" t="inlineStr"/>
      <c r="J307" s="4" t="inlineStr">
        <is>
          <t>M10 – M12</t>
        </is>
      </c>
      <c r="K307" s="2" t="n">
        <v>2</v>
      </c>
      <c r="L307" s="4" t="inlineStr"/>
      <c r="M307" s="4" t="inlineStr"/>
      <c r="N307" s="2" t="n">
        <v>9</v>
      </c>
      <c r="O307" s="2" t="inlineStr">
        <is>
          <t>دارد</t>
        </is>
      </c>
      <c r="P307" s="2" t="inlineStr">
        <is>
          <t>دارد</t>
        </is>
      </c>
      <c r="Q307" s="2" t="inlineStr">
        <is>
          <t>دارد</t>
        </is>
      </c>
    </row>
    <row r="308">
      <c r="A308" s="2" t="n">
        <v>307</v>
      </c>
      <c r="B308" s="2" t="inlineStr">
        <is>
          <t>DIN</t>
        </is>
      </c>
      <c r="C308" s="3" t="inlineStr">
        <is>
          <t>DIN 11024 D</t>
        </is>
      </c>
      <c r="D308" s="4" t="inlineStr">
        <is>
          <t>خار R (اشپیل فنری) فرم D</t>
        </is>
      </c>
      <c r="E308" s="4" t="inlineStr">
        <is>
          <t>Spring cotter pins (R-clips), Form D</t>
        </is>
      </c>
      <c r="F308" s="4" t="inlineStr">
        <is>
          <t>خار</t>
        </is>
      </c>
      <c r="G308" s="2" t="n">
        <v>2</v>
      </c>
      <c r="H308" s="4" t="inlineStr">
        <is>
          <t>DIN 11024</t>
        </is>
      </c>
      <c r="I308" s="4" t="inlineStr">
        <is>
          <t>UNI 8833 B</t>
        </is>
      </c>
      <c r="J308" s="4" t="inlineStr">
        <is>
          <t>2.5 – 8</t>
        </is>
      </c>
      <c r="K308" s="2" t="n">
        <v>7</v>
      </c>
      <c r="L308" s="4" t="inlineStr">
        <is>
          <t>فولاد فنری گالوانیزه، استیل فنری، استیل A2، استیل A4</t>
        </is>
      </c>
      <c r="M308" s="4" t="inlineStr">
        <is>
          <t>پین اشپیل سر حلقه‌ای</t>
        </is>
      </c>
      <c r="N308" s="2" t="n">
        <v>7</v>
      </c>
      <c r="O308" s="2" t="inlineStr">
        <is>
          <t>دارد</t>
        </is>
      </c>
      <c r="P308" s="2" t="inlineStr">
        <is>
          <t>دارد</t>
        </is>
      </c>
      <c r="Q308" s="2" t="inlineStr">
        <is>
          <t>دارد</t>
        </is>
      </c>
    </row>
    <row r="309">
      <c r="A309" s="2" t="n">
        <v>308</v>
      </c>
      <c r="B309" s="2" t="inlineStr">
        <is>
          <t>DIN</t>
        </is>
      </c>
      <c r="C309" s="3" t="inlineStr">
        <is>
          <t>DIN 11024 E</t>
        </is>
      </c>
      <c r="D309" s="4" t="inlineStr">
        <is>
          <t>خار R (اشپیل فنری) فرم E</t>
        </is>
      </c>
      <c r="E309" s="4" t="inlineStr">
        <is>
          <t>Spring cotter pins (R-clips), Form E</t>
        </is>
      </c>
      <c r="F309" s="4" t="inlineStr">
        <is>
          <t>خار</t>
        </is>
      </c>
      <c r="G309" s="2" t="n">
        <v>2</v>
      </c>
      <c r="H309" s="4" t="inlineStr">
        <is>
          <t>DIN 11024</t>
        </is>
      </c>
      <c r="I309" s="4" t="inlineStr">
        <is>
          <t>UNI 8833A</t>
        </is>
      </c>
      <c r="J309" s="4" t="inlineStr">
        <is>
          <t>2.25 – 7</t>
        </is>
      </c>
      <c r="K309" s="2" t="n">
        <v>6</v>
      </c>
      <c r="L309" s="4" t="inlineStr">
        <is>
          <t>فولاد فنری گالوانیزه، استیل فنری، استیل A2، استیل A4</t>
        </is>
      </c>
      <c r="M309" s="4" t="inlineStr">
        <is>
          <t>پین اشپیل نک حلقه</t>
        </is>
      </c>
      <c r="N309" s="2" t="n">
        <v>0</v>
      </c>
      <c r="O309" s="2" t="inlineStr">
        <is>
          <t>—</t>
        </is>
      </c>
      <c r="P309" s="2" t="inlineStr">
        <is>
          <t>دارد</t>
        </is>
      </c>
      <c r="Q309" s="2" t="inlineStr">
        <is>
          <t>دارد</t>
        </is>
      </c>
    </row>
    <row r="310">
      <c r="A310" s="2" t="n">
        <v>309</v>
      </c>
      <c r="B310" s="2" t="inlineStr">
        <is>
          <t>DIN</t>
        </is>
      </c>
      <c r="C310" s="3" t="inlineStr">
        <is>
          <t>DIN 15237</t>
        </is>
      </c>
      <c r="D310" s="4" t="inlineStr">
        <is>
          <t>پیچ تسمه نقاله</t>
        </is>
      </c>
      <c r="E310" s="4" t="inlineStr">
        <is>
          <t>Conveyor belt bolts</t>
        </is>
      </c>
      <c r="F310" s="4" t="inlineStr">
        <is>
          <t>پیچ سرخاص و کالسکه</t>
        </is>
      </c>
      <c r="G310" s="2" t="n">
        <v>2</v>
      </c>
      <c r="H310" s="4" t="inlineStr">
        <is>
          <t>DIN 15237</t>
        </is>
      </c>
      <c r="I310" s="4" t="inlineStr">
        <is>
          <t>CSN 021329</t>
        </is>
      </c>
      <c r="J310" s="4" t="inlineStr">
        <is>
          <t>M6 – M12</t>
        </is>
      </c>
      <c r="K310" s="2" t="n">
        <v>4</v>
      </c>
      <c r="L310" s="4" t="inlineStr">
        <is>
          <t>فولاد 4.6، فولاد 4.8، فولاد 8.8، استیل A2، استیل A4، سفارشی (طبق نقشه)</t>
        </is>
      </c>
      <c r="M310" s="4" t="inlineStr"/>
      <c r="N310" s="2" t="n">
        <v>14</v>
      </c>
      <c r="O310" s="2" t="inlineStr">
        <is>
          <t>دارد</t>
        </is>
      </c>
      <c r="P310" s="2" t="inlineStr">
        <is>
          <t>دارد</t>
        </is>
      </c>
      <c r="Q310" s="2" t="inlineStr">
        <is>
          <t>دارد</t>
        </is>
      </c>
    </row>
    <row r="311">
      <c r="A311" s="2" t="n">
        <v>310</v>
      </c>
      <c r="B311" s="2" t="inlineStr">
        <is>
          <t>DIN</t>
        </is>
      </c>
      <c r="C311" s="3" t="inlineStr">
        <is>
          <t>DIN 15315</t>
        </is>
      </c>
      <c r="D311" s="4" t="inlineStr">
        <is>
          <t>سرسیم بکسل (سوکت طنابی)</t>
        </is>
      </c>
      <c r="E311" s="4" t="inlineStr">
        <is>
          <t>Rope Sockets</t>
        </is>
      </c>
      <c r="F311" s="4" t="inlineStr">
        <is>
          <t>اتصالات بالابری و مهارکش</t>
        </is>
      </c>
      <c r="G311" s="2" t="n">
        <v>3</v>
      </c>
      <c r="H311" s="4" t="inlineStr">
        <is>
          <t>DIN EN 13411-7</t>
        </is>
      </c>
      <c r="I311" s="4" t="inlineStr"/>
      <c r="J311" s="4" t="inlineStr">
        <is>
          <t>5 – 30</t>
        </is>
      </c>
      <c r="K311" s="2" t="n">
        <v>9</v>
      </c>
      <c r="L311" s="4" t="inlineStr">
        <is>
          <t>فولاد کربنی، چدن چکش‌خوار، استیل 1.4571</t>
        </is>
      </c>
      <c r="M311" s="4" t="inlineStr">
        <is>
          <t>سوکت گوه‌ای متقارن سیم بکسل اسانسور</t>
        </is>
      </c>
      <c r="N311" s="2" t="n">
        <v>9</v>
      </c>
      <c r="O311" s="2" t="inlineStr">
        <is>
          <t>دارد</t>
        </is>
      </c>
      <c r="P311" s="2" t="inlineStr">
        <is>
          <t>دارد</t>
        </is>
      </c>
      <c r="Q311" s="2" t="inlineStr">
        <is>
          <t>دارد</t>
        </is>
      </c>
    </row>
    <row r="312">
      <c r="A312" s="2" t="n">
        <v>311</v>
      </c>
      <c r="B312" s="2" t="inlineStr">
        <is>
          <t>DIN</t>
        </is>
      </c>
      <c r="C312" s="3" t="inlineStr">
        <is>
          <t>DIN 22424 B</t>
        </is>
      </c>
      <c r="D312" s="4" t="inlineStr">
        <is>
          <t>پیچ سرمثلثی فرم B</t>
        </is>
      </c>
      <c r="E312" s="4" t="inlineStr">
        <is>
          <t>Triangle head bolts, Form B</t>
        </is>
      </c>
      <c r="F312" s="4" t="inlineStr">
        <is>
          <t>پیچ سرخاص و کالسکه</t>
        </is>
      </c>
      <c r="G312" s="2" t="n">
        <v>3</v>
      </c>
      <c r="H312" s="4" t="inlineStr">
        <is>
          <t>DIN 22424</t>
        </is>
      </c>
      <c r="I312" s="4" t="inlineStr"/>
      <c r="J312" s="4" t="inlineStr"/>
      <c r="K312" s="2" t="n">
        <v>0</v>
      </c>
      <c r="L312" s="4" t="inlineStr">
        <is>
          <t>فولاد 5.8، استیل A2-70، استیل A4-70</t>
        </is>
      </c>
      <c r="M312" s="4" t="inlineStr"/>
      <c r="N312" s="2" t="n">
        <v>0</v>
      </c>
      <c r="O312" s="2" t="inlineStr">
        <is>
          <t>دارد</t>
        </is>
      </c>
      <c r="P312" s="2" t="inlineStr">
        <is>
          <t>دارد</t>
        </is>
      </c>
      <c r="Q312" s="2" t="inlineStr">
        <is>
          <t>دارد</t>
        </is>
      </c>
    </row>
    <row r="313">
      <c r="A313" s="2" t="n">
        <v>312</v>
      </c>
      <c r="B313" s="2" t="inlineStr">
        <is>
          <t>DIN</t>
        </is>
      </c>
      <c r="C313" s="3" t="inlineStr">
        <is>
          <t>DIN 22424 C</t>
        </is>
      </c>
      <c r="D313" s="4" t="inlineStr">
        <is>
          <t>پیچ سرمثلثی فرم C</t>
        </is>
      </c>
      <c r="E313" s="4" t="inlineStr">
        <is>
          <t>Triangle head bolts, Form C</t>
        </is>
      </c>
      <c r="F313" s="4" t="inlineStr">
        <is>
          <t>پیچ سرخاص و کالسکه</t>
        </is>
      </c>
      <c r="G313" s="2" t="n">
        <v>3</v>
      </c>
      <c r="H313" s="4" t="inlineStr">
        <is>
          <t>DIN 22424</t>
        </is>
      </c>
      <c r="I313" s="4" t="inlineStr"/>
      <c r="J313" s="4" t="inlineStr">
        <is>
          <t>M6 – M10</t>
        </is>
      </c>
      <c r="K313" s="2" t="n">
        <v>3</v>
      </c>
      <c r="L313" s="4" t="inlineStr">
        <is>
          <t>فولاد 5.8، استیل A2-70، استیل A4-70</t>
        </is>
      </c>
      <c r="M313" s="4" t="inlineStr"/>
      <c r="N313" s="2" t="n">
        <v>0</v>
      </c>
      <c r="O313" s="2" t="inlineStr">
        <is>
          <t>دارد</t>
        </is>
      </c>
      <c r="P313" s="2" t="inlineStr">
        <is>
          <t>دارد</t>
        </is>
      </c>
      <c r="Q313" s="2" t="inlineStr">
        <is>
          <t>دارد</t>
        </is>
      </c>
    </row>
    <row r="314">
      <c r="A314" s="2" t="n">
        <v>313</v>
      </c>
      <c r="B314" s="2" t="inlineStr">
        <is>
          <t>DIN</t>
        </is>
      </c>
      <c r="C314" s="3" t="inlineStr">
        <is>
          <t>DIN 25193</t>
        </is>
      </c>
      <c r="D314" s="4" t="inlineStr">
        <is>
          <t>پیچ کلمپ سرگرد بزرگ</t>
        </is>
      </c>
      <c r="E314" s="4" t="inlineStr">
        <is>
          <t>Screw clamp with a large rounded head</t>
        </is>
      </c>
      <c r="F314" s="4" t="inlineStr">
        <is>
          <t>پیچ سرخاص و کالسکه</t>
        </is>
      </c>
      <c r="G314" s="2" t="n">
        <v>3</v>
      </c>
      <c r="H314" s="4" t="inlineStr">
        <is>
          <t>DIN 25193</t>
        </is>
      </c>
      <c r="I314" s="4" t="inlineStr"/>
      <c r="J314" s="4" t="inlineStr">
        <is>
          <t>M8 – M10</t>
        </is>
      </c>
      <c r="K314" s="2" t="n">
        <v>2</v>
      </c>
      <c r="L314" s="4" t="inlineStr"/>
      <c r="M314" s="4" t="inlineStr"/>
      <c r="N314" s="2" t="n">
        <v>0</v>
      </c>
      <c r="O314" s="2" t="inlineStr">
        <is>
          <t>دارد</t>
        </is>
      </c>
      <c r="P314" s="2" t="inlineStr">
        <is>
          <t>دارد</t>
        </is>
      </c>
      <c r="Q314" s="2" t="inlineStr">
        <is>
          <t>دارد</t>
        </is>
      </c>
    </row>
    <row r="315">
      <c r="A315" s="2" t="n">
        <v>314</v>
      </c>
      <c r="B315" s="2" t="inlineStr">
        <is>
          <t>DIN</t>
        </is>
      </c>
      <c r="C315" s="3" t="inlineStr">
        <is>
          <t>DIN 28129</t>
        </is>
      </c>
      <c r="D315" s="4" t="inlineStr">
        <is>
          <t>مهره کلمپ درپوش</t>
        </is>
      </c>
      <c r="E315" s="4" t="inlineStr">
        <is>
          <t>Clamp nuts for covers</t>
        </is>
      </c>
      <c r="F315" s="4" t="inlineStr">
        <is>
          <t>مهره</t>
        </is>
      </c>
      <c r="G315" s="2" t="n">
        <v>3</v>
      </c>
      <c r="H315" s="4" t="inlineStr">
        <is>
          <t>DIN 28129</t>
        </is>
      </c>
      <c r="I315" s="4" t="inlineStr"/>
      <c r="J315" s="4" t="inlineStr">
        <is>
          <t>M12 – M30</t>
        </is>
      </c>
      <c r="K315" s="2" t="n">
        <v>6</v>
      </c>
      <c r="L315" s="4" t="inlineStr">
        <is>
          <t>فولاد آلیاژی مقاوم به حرارت</t>
        </is>
      </c>
      <c r="M315" s="4" t="inlineStr">
        <is>
          <t>مهره شش‌گوش بلند مخصوص اتصالات مخازن و تجهیزات تحت فشار</t>
        </is>
      </c>
      <c r="N315" s="2" t="n">
        <v>6</v>
      </c>
      <c r="O315" s="2" t="inlineStr">
        <is>
          <t>دارد</t>
        </is>
      </c>
      <c r="P315" s="2" t="inlineStr">
        <is>
          <t>دارد</t>
        </is>
      </c>
      <c r="Q315" s="2" t="inlineStr">
        <is>
          <t>دارد</t>
        </is>
      </c>
    </row>
    <row r="316">
      <c r="A316" s="2" t="n">
        <v>315</v>
      </c>
      <c r="B316" s="2" t="inlineStr">
        <is>
          <t>DIN</t>
        </is>
      </c>
      <c r="C316" s="3" t="inlineStr">
        <is>
          <t>DIN 32501</t>
        </is>
      </c>
      <c r="D316" s="4" t="inlineStr">
        <is>
          <t>پیچ جوشی رزوه متریک</t>
        </is>
      </c>
      <c r="E316" s="4" t="inlineStr">
        <is>
          <t>Weld studs with metric thread</t>
        </is>
      </c>
      <c r="F316" s="4" t="inlineStr">
        <is>
          <t>استاد بولت و میل‌رزوه</t>
        </is>
      </c>
      <c r="G316" s="2" t="n">
        <v>3</v>
      </c>
      <c r="H316" s="4" t="inlineStr"/>
      <c r="I316" s="4" t="inlineStr"/>
      <c r="J316" s="4" t="inlineStr">
        <is>
          <t>M3 – M8</t>
        </is>
      </c>
      <c r="K316" s="2" t="n">
        <v>5</v>
      </c>
      <c r="L316" s="4" t="inlineStr"/>
      <c r="M316" s="4" t="inlineStr"/>
      <c r="N316" s="2" t="n">
        <v>0</v>
      </c>
      <c r="O316" s="2" t="inlineStr">
        <is>
          <t>دارد</t>
        </is>
      </c>
      <c r="P316" s="2" t="inlineStr">
        <is>
          <t>دارد</t>
        </is>
      </c>
      <c r="Q316" s="2" t="inlineStr">
        <is>
          <t>دارد</t>
        </is>
      </c>
    </row>
    <row r="317">
      <c r="A317" s="2" t="n">
        <v>316</v>
      </c>
      <c r="B317" s="2" t="inlineStr">
        <is>
          <t>DIN</t>
        </is>
      </c>
      <c r="C317" s="3" t="inlineStr">
        <is>
          <t>DIN 43148</t>
        </is>
      </c>
      <c r="D317" s="4" t="inlineStr">
        <is>
          <t>آویز طناب با سوکت گوه‌ای</t>
        </is>
      </c>
      <c r="E317" s="4" t="inlineStr">
        <is>
          <t>Rope suspensions with wedge sockets</t>
        </is>
      </c>
      <c r="F317" s="4" t="inlineStr">
        <is>
          <t>اتصالات بالابری و مهارکش</t>
        </is>
      </c>
      <c r="G317" s="2" t="n">
        <v>3</v>
      </c>
      <c r="H317" s="4" t="inlineStr">
        <is>
          <t>DIN 43148</t>
        </is>
      </c>
      <c r="I317" s="4" t="inlineStr"/>
      <c r="J317" s="4" t="inlineStr">
        <is>
          <t>14 – 48.5</t>
        </is>
      </c>
      <c r="K317" s="2" t="n">
        <v>6</v>
      </c>
      <c r="L317" s="4" t="inlineStr">
        <is>
          <t>فولاد ریختگی</t>
        </is>
      </c>
      <c r="M317" s="4" t="inlineStr">
        <is>
          <t>سوکت گوه‌ای سیم بکسل مخصوص مهار انتهای سیم بکسل در تجهیزات بالاسری و خطوط ریلی</t>
        </is>
      </c>
      <c r="N317" s="2" t="n">
        <v>6</v>
      </c>
      <c r="O317" s="2" t="inlineStr">
        <is>
          <t>دارد</t>
        </is>
      </c>
      <c r="P317" s="2" t="inlineStr">
        <is>
          <t>دارد</t>
        </is>
      </c>
      <c r="Q317" s="2" t="inlineStr">
        <is>
          <t>دارد</t>
        </is>
      </c>
    </row>
    <row r="318">
      <c r="A318" s="2" t="n">
        <v>317</v>
      </c>
      <c r="B318" s="2" t="inlineStr">
        <is>
          <t>DIN</t>
        </is>
      </c>
      <c r="C318" s="3" t="inlineStr">
        <is>
          <t>DIN 70613</t>
        </is>
      </c>
      <c r="D318" s="4" t="inlineStr">
        <is>
          <t>پیچ سر شش‌گوش آچارخور گل کوچک نیم‌رزوه</t>
        </is>
      </c>
      <c r="E318" s="4" t="inlineStr">
        <is>
          <t>Hexagon head bolts, small widths across flats</t>
        </is>
      </c>
      <c r="F318" s="4" t="inlineStr">
        <is>
          <t>پیچ شش‌گوش</t>
        </is>
      </c>
      <c r="G318" s="2" t="n">
        <v>3</v>
      </c>
      <c r="H318" s="4" t="inlineStr"/>
      <c r="I318" s="4" t="inlineStr">
        <is>
          <t>CSN 021201</t>
        </is>
      </c>
      <c r="J318" s="4" t="inlineStr">
        <is>
          <t>M6 – M16</t>
        </is>
      </c>
      <c r="K318" s="2" t="n">
        <v>5</v>
      </c>
      <c r="L318" s="4" t="inlineStr">
        <is>
          <t>فولاد 5.8، فولاد 8.8، فولاد 10.9</t>
        </is>
      </c>
      <c r="M318" s="4" t="inlineStr"/>
      <c r="N318" s="2" t="n">
        <v>0</v>
      </c>
      <c r="O318" s="2" t="inlineStr">
        <is>
          <t>دارد</t>
        </is>
      </c>
      <c r="P318" s="2" t="inlineStr">
        <is>
          <t>دارد</t>
        </is>
      </c>
      <c r="Q318" s="2" t="inlineStr">
        <is>
          <t>دارد</t>
        </is>
      </c>
    </row>
    <row r="319">
      <c r="A319" s="2" t="n">
        <v>318</v>
      </c>
      <c r="B319" s="2" t="inlineStr">
        <is>
          <t>DIN</t>
        </is>
      </c>
      <c r="C319" s="3" t="inlineStr">
        <is>
          <t>DIN 70614</t>
        </is>
      </c>
      <c r="D319" s="4" t="inlineStr">
        <is>
          <t>پیچ سر شش‌گوش آچارخور گل کوچک تمام رزوه</t>
        </is>
      </c>
      <c r="E319" s="4" t="inlineStr">
        <is>
          <t>Hexagon head screws, small widths across flats, fully threaded</t>
        </is>
      </c>
      <c r="F319" s="4" t="inlineStr">
        <is>
          <t>پیچ شش‌گوش</t>
        </is>
      </c>
      <c r="G319" s="2" t="n">
        <v>3</v>
      </c>
      <c r="H319" s="4" t="inlineStr"/>
      <c r="I319" s="4" t="inlineStr">
        <is>
          <t>CSN 021207</t>
        </is>
      </c>
      <c r="J319" s="4" t="inlineStr">
        <is>
          <t>M6 – M16</t>
        </is>
      </c>
      <c r="K319" s="2" t="n">
        <v>5</v>
      </c>
      <c r="L319" s="4" t="inlineStr">
        <is>
          <t>فولاد 5.8، فولاد 8.8، فولاد 10.9</t>
        </is>
      </c>
      <c r="M319" s="4" t="inlineStr"/>
      <c r="N319" s="2" t="n">
        <v>0</v>
      </c>
      <c r="O319" s="2" t="inlineStr">
        <is>
          <t>دارد</t>
        </is>
      </c>
      <c r="P319" s="2" t="inlineStr">
        <is>
          <t>دارد</t>
        </is>
      </c>
      <c r="Q319" s="2" t="inlineStr">
        <is>
          <t>دارد</t>
        </is>
      </c>
    </row>
    <row r="320">
      <c r="A320" s="2" t="n">
        <v>319</v>
      </c>
      <c r="B320" s="2" t="inlineStr">
        <is>
          <t>DIN</t>
        </is>
      </c>
      <c r="C320" s="3" t="inlineStr">
        <is>
          <t>DIN 70852</t>
        </is>
      </c>
      <c r="D320" s="4" t="inlineStr">
        <is>
          <t>مهره شیاردار گرد</t>
        </is>
      </c>
      <c r="E320" s="4" t="inlineStr">
        <is>
          <t>Slotted round nuts (DIN 70852)</t>
        </is>
      </c>
      <c r="F320" s="4" t="inlineStr">
        <is>
          <t>مهره</t>
        </is>
      </c>
      <c r="G320" s="2" t="n">
        <v>2</v>
      </c>
      <c r="H320" s="4" t="inlineStr">
        <is>
          <t>DIN 70852</t>
        </is>
      </c>
      <c r="I320" s="4" t="inlineStr"/>
      <c r="J320" s="4" t="inlineStr">
        <is>
          <t>M10X1 – M80X1.5</t>
        </is>
      </c>
      <c r="K320" s="2" t="n">
        <v>26</v>
      </c>
      <c r="L320" s="4" t="inlineStr">
        <is>
          <t>فولاد کربنی، فولاد آلیاژی، استیل (فولاد ضدزنگ)</t>
        </is>
      </c>
      <c r="M320" s="4" t="inlineStr">
        <is>
          <t>مهره چاکنت، مهره گرد شیاردار قفلی دقیق، مهره قفلی مخصوص شفت و بلبرینگ</t>
        </is>
      </c>
      <c r="N320" s="2" t="n">
        <v>26</v>
      </c>
      <c r="O320" s="2" t="inlineStr">
        <is>
          <t>دارد</t>
        </is>
      </c>
      <c r="P320" s="2" t="inlineStr">
        <is>
          <t>دارد</t>
        </is>
      </c>
      <c r="Q320" s="2" t="inlineStr">
        <is>
          <t>دارد</t>
        </is>
      </c>
    </row>
    <row r="321">
      <c r="A321" s="2" t="n">
        <v>320</v>
      </c>
      <c r="B321" s="2" t="inlineStr">
        <is>
          <t>DIN</t>
        </is>
      </c>
      <c r="C321" s="3" t="inlineStr">
        <is>
          <t>DIN 70952</t>
        </is>
      </c>
      <c r="D321" s="4" t="inlineStr">
        <is>
          <t>واشر قفلی مهره شیاردار</t>
        </is>
      </c>
      <c r="E321" s="4" t="inlineStr">
        <is>
          <t>Lock washers for slotted round nuts (DIN 70852)</t>
        </is>
      </c>
      <c r="F321" s="4" t="inlineStr">
        <is>
          <t>واشر</t>
        </is>
      </c>
      <c r="G321" s="2" t="n">
        <v>2</v>
      </c>
      <c r="H321" s="4" t="inlineStr"/>
      <c r="I321" s="4" t="inlineStr"/>
      <c r="J321" s="4" t="inlineStr">
        <is>
          <t>10 – 105</t>
        </is>
      </c>
      <c r="K321" s="2" t="n">
        <v>29</v>
      </c>
      <c r="L321" s="4" t="inlineStr">
        <is>
          <t>فولاد کربنی ساده یا گالوانیزه، استیل A2، استیل A4</t>
        </is>
      </c>
      <c r="M321" s="4" t="inlineStr">
        <is>
          <t>واشر قفلی برای مهره چاکنت، واشر قفلی زبانه‌دار مخصوص مهره های گرد شیاردار، واشر قفلی خم شونده شفت</t>
        </is>
      </c>
      <c r="N321" s="2" t="n">
        <v>29</v>
      </c>
      <c r="O321" s="2" t="inlineStr">
        <is>
          <t>دارد</t>
        </is>
      </c>
      <c r="P321" s="2" t="inlineStr">
        <is>
          <t>دارد</t>
        </is>
      </c>
      <c r="Q321" s="2" t="inlineStr">
        <is>
          <t>دارد</t>
        </is>
      </c>
    </row>
    <row r="322">
      <c r="A322" s="2" t="n">
        <v>321</v>
      </c>
      <c r="B322" s="2" t="inlineStr">
        <is>
          <t>DIN</t>
        </is>
      </c>
      <c r="C322" s="3" t="inlineStr">
        <is>
          <t>DIN 71412 A</t>
        </is>
      </c>
      <c r="D322" s="4" t="inlineStr">
        <is>
          <t>گریس‌خور مستقیم</t>
        </is>
      </c>
      <c r="E322" s="4" t="inlineStr">
        <is>
          <t>Grease nipples, straight, Form A</t>
        </is>
      </c>
      <c r="F322" s="4" t="inlineStr">
        <is>
          <t>سایر اتصالات و یراق</t>
        </is>
      </c>
      <c r="G322" s="2" t="n">
        <v>1</v>
      </c>
      <c r="H322" s="4" t="inlineStr">
        <is>
          <t>DIN 71412</t>
        </is>
      </c>
      <c r="I322" s="4" t="inlineStr"/>
      <c r="J322" s="4" t="inlineStr">
        <is>
          <t>M6X1 – M10X1</t>
        </is>
      </c>
      <c r="K322" s="2" t="n">
        <v>3</v>
      </c>
      <c r="L322" s="4" t="inlineStr">
        <is>
          <t>فولاد کربنی گالوانیزه، استیل A2، استیل A4</t>
        </is>
      </c>
      <c r="M322" s="4" t="inlineStr"/>
      <c r="N322" s="2" t="n">
        <v>3</v>
      </c>
      <c r="O322" s="2" t="inlineStr">
        <is>
          <t>دارد</t>
        </is>
      </c>
      <c r="P322" s="2" t="inlineStr">
        <is>
          <t>دارد</t>
        </is>
      </c>
      <c r="Q322" s="2" t="inlineStr">
        <is>
          <t>دارد</t>
        </is>
      </c>
    </row>
    <row r="323">
      <c r="A323" s="2" t="n">
        <v>322</v>
      </c>
      <c r="B323" s="2" t="inlineStr">
        <is>
          <t>DIN</t>
        </is>
      </c>
      <c r="C323" s="3" t="inlineStr">
        <is>
          <t>DIN 71412 B</t>
        </is>
      </c>
      <c r="D323" s="4" t="inlineStr">
        <is>
          <t>گریس‌خور ۴۵ درجه</t>
        </is>
      </c>
      <c r="E323" s="4" t="inlineStr">
        <is>
          <t>Grease nipples, 45° angled, Form B</t>
        </is>
      </c>
      <c r="F323" s="4" t="inlineStr">
        <is>
          <t>سایر اتصالات و یراق</t>
        </is>
      </c>
      <c r="G323" s="2" t="n">
        <v>1</v>
      </c>
      <c r="H323" s="4" t="inlineStr">
        <is>
          <t>DIN 71412</t>
        </is>
      </c>
      <c r="I323" s="4" t="inlineStr"/>
      <c r="J323" s="4" t="inlineStr">
        <is>
          <t>M6X1 – M10X1</t>
        </is>
      </c>
      <c r="K323" s="2" t="n">
        <v>3</v>
      </c>
      <c r="L323" s="4" t="inlineStr">
        <is>
          <t>فولاد کربنی گالوانیزه، استیل A2، استیل A4</t>
        </is>
      </c>
      <c r="M323" s="4" t="inlineStr"/>
      <c r="N323" s="2" t="n">
        <v>3</v>
      </c>
      <c r="O323" s="2" t="inlineStr">
        <is>
          <t>دارد</t>
        </is>
      </c>
      <c r="P323" s="2" t="inlineStr">
        <is>
          <t>دارد</t>
        </is>
      </c>
      <c r="Q323" s="2" t="inlineStr">
        <is>
          <t>دارد</t>
        </is>
      </c>
    </row>
    <row r="324">
      <c r="A324" s="2" t="n">
        <v>323</v>
      </c>
      <c r="B324" s="2" t="inlineStr">
        <is>
          <t>DIN</t>
        </is>
      </c>
      <c r="C324" s="3" t="inlineStr">
        <is>
          <t>DIN 71412 C</t>
        </is>
      </c>
      <c r="D324" s="4" t="inlineStr">
        <is>
          <t>گریس‌خور ۹۰ درجه</t>
        </is>
      </c>
      <c r="E324" s="4" t="inlineStr">
        <is>
          <t>Grease nipples, 90° angled, Form C</t>
        </is>
      </c>
      <c r="F324" s="4" t="inlineStr">
        <is>
          <t>سایر اتصالات و یراق</t>
        </is>
      </c>
      <c r="G324" s="2" t="n">
        <v>1</v>
      </c>
      <c r="H324" s="4" t="inlineStr">
        <is>
          <t>DIN 71412</t>
        </is>
      </c>
      <c r="I324" s="4" t="inlineStr"/>
      <c r="J324" s="4" t="inlineStr">
        <is>
          <t>M6X1 – M10X1</t>
        </is>
      </c>
      <c r="K324" s="2" t="n">
        <v>3</v>
      </c>
      <c r="L324" s="4" t="inlineStr">
        <is>
          <t>فولاد کربنی گالوانیزه، استیل A2، استیل A4</t>
        </is>
      </c>
      <c r="M324" s="4" t="inlineStr"/>
      <c r="N324" s="2" t="n">
        <v>3</v>
      </c>
      <c r="O324" s="2" t="inlineStr">
        <is>
          <t>دارد</t>
        </is>
      </c>
      <c r="P324" s="2" t="inlineStr">
        <is>
          <t>دارد</t>
        </is>
      </c>
      <c r="Q324" s="2" t="inlineStr">
        <is>
          <t>دارد</t>
        </is>
      </c>
    </row>
    <row r="325">
      <c r="A325" s="2" t="n">
        <v>324</v>
      </c>
      <c r="B325" s="2" t="inlineStr">
        <is>
          <t>DIN</t>
        </is>
      </c>
      <c r="C325" s="3" t="inlineStr">
        <is>
          <t>DIN 71752</t>
        </is>
      </c>
      <c r="D325" s="4" t="inlineStr">
        <is>
          <t>دوشاخه (فورک)</t>
        </is>
      </c>
      <c r="E325" s="4" t="inlineStr">
        <is>
          <t>Clevis (fork) joints</t>
        </is>
      </c>
      <c r="F325" s="4" t="inlineStr">
        <is>
          <t>سایر اتصالات و یراق</t>
        </is>
      </c>
      <c r="G325" s="2" t="n">
        <v>3</v>
      </c>
      <c r="H325" s="4" t="inlineStr">
        <is>
          <t>DIN 71752</t>
        </is>
      </c>
      <c r="I325" s="4" t="inlineStr">
        <is>
          <t>UNI 1676</t>
        </is>
      </c>
      <c r="J325" s="4" t="inlineStr">
        <is>
          <t>4 – 16</t>
        </is>
      </c>
      <c r="K325" s="2" t="n">
        <v>8</v>
      </c>
      <c r="L325" s="4" t="inlineStr">
        <is>
          <t>فولاد کربنی گالوانیزه، استیل A2، استیل A4</t>
        </is>
      </c>
      <c r="M325" s="4" t="inlineStr">
        <is>
          <t>سر دوشاخه اتصال مفصلی با سوراخ پین و رزوه داخلی اتصال به میله یا جک</t>
        </is>
      </c>
      <c r="N325" s="2" t="n">
        <v>16</v>
      </c>
      <c r="O325" s="2" t="inlineStr">
        <is>
          <t>دارد</t>
        </is>
      </c>
      <c r="P325" s="2" t="inlineStr">
        <is>
          <t>دارد</t>
        </is>
      </c>
      <c r="Q325" s="2" t="inlineStr">
        <is>
          <t>دارد</t>
        </is>
      </c>
    </row>
    <row r="326">
      <c r="A326" s="2" t="n">
        <v>325</v>
      </c>
      <c r="B326" s="2" t="inlineStr">
        <is>
          <t>DIN</t>
        </is>
      </c>
      <c r="C326" s="3" t="inlineStr">
        <is>
          <t>DIN 71802</t>
        </is>
      </c>
      <c r="D326" s="4" t="inlineStr">
        <is>
          <t>سیبک زاویه‌دار</t>
        </is>
      </c>
      <c r="E326" s="4" t="inlineStr">
        <is>
          <t>Angled ball joints</t>
        </is>
      </c>
      <c r="F326" s="4" t="inlineStr">
        <is>
          <t>سایر اتصالات و یراق</t>
        </is>
      </c>
      <c r="G326" s="2" t="n">
        <v>3</v>
      </c>
      <c r="H326" s="4" t="inlineStr">
        <is>
          <t>DIN 71802</t>
        </is>
      </c>
      <c r="I326" s="4" t="inlineStr"/>
      <c r="J326" s="4" t="inlineStr">
        <is>
          <t>M5 – M14X1.5</t>
        </is>
      </c>
      <c r="K326" s="2" t="n">
        <v>4</v>
      </c>
      <c r="L326" s="4" t="inlineStr">
        <is>
          <t>فولاد کربنی گالوانیزه، استیل A2، استیل A4</t>
        </is>
      </c>
      <c r="M326" s="4" t="inlineStr">
        <is>
          <t>مفصل سیبکی زاویه‌دار، اتصال گوی و کاسه</t>
        </is>
      </c>
      <c r="N326" s="2" t="n">
        <v>0</v>
      </c>
      <c r="O326" s="2" t="inlineStr">
        <is>
          <t>دارد</t>
        </is>
      </c>
      <c r="P326" s="2" t="inlineStr">
        <is>
          <t>دارد</t>
        </is>
      </c>
      <c r="Q326" s="2" t="inlineStr">
        <is>
          <t>دارد</t>
        </is>
      </c>
    </row>
    <row r="327">
      <c r="A327" s="2" t="n">
        <v>326</v>
      </c>
      <c r="B327" s="2" t="inlineStr">
        <is>
          <t>DIN</t>
        </is>
      </c>
      <c r="C327" s="3" t="inlineStr">
        <is>
          <t>DIN 74361 A</t>
        </is>
      </c>
      <c r="D327" s="4" t="inlineStr">
        <is>
          <t>مهره چرخ سرکروی</t>
        </is>
      </c>
      <c r="E327" s="4" t="inlineStr">
        <is>
          <t>Spherical collar nuts form A</t>
        </is>
      </c>
      <c r="F327" s="4" t="inlineStr">
        <is>
          <t>مهره</t>
        </is>
      </c>
      <c r="G327" s="2" t="n">
        <v>3</v>
      </c>
      <c r="H327" s="4" t="inlineStr">
        <is>
          <t>DIN 74361</t>
        </is>
      </c>
      <c r="I327" s="4" t="inlineStr"/>
      <c r="J327" s="4" t="inlineStr">
        <is>
          <t>M12X1.5 – M22X1.5</t>
        </is>
      </c>
      <c r="K327" s="2" t="n">
        <v>5</v>
      </c>
      <c r="L327" s="4" t="inlineStr">
        <is>
          <t>کلاس 8، کلاس 10، پوشش فسفاته و گالوانیزه</t>
        </is>
      </c>
      <c r="M327" s="4" t="inlineStr">
        <is>
          <t>مهره مخصوص اتصال چرخ خودروهای سنگین</t>
        </is>
      </c>
      <c r="N327" s="2" t="n">
        <v>5</v>
      </c>
      <c r="O327" s="2" t="inlineStr">
        <is>
          <t>دارد</t>
        </is>
      </c>
      <c r="P327" s="2" t="inlineStr">
        <is>
          <t>دارد</t>
        </is>
      </c>
      <c r="Q327" s="2" t="inlineStr">
        <is>
          <t>دارد</t>
        </is>
      </c>
    </row>
    <row r="328">
      <c r="A328" s="2" t="n">
        <v>327</v>
      </c>
      <c r="B328" s="2" t="inlineStr">
        <is>
          <t>DIN</t>
        </is>
      </c>
      <c r="C328" s="3" t="inlineStr">
        <is>
          <t>DIN 74361 B</t>
        </is>
      </c>
      <c r="D328" s="4" t="inlineStr">
        <is>
          <t>مهره چرخ یقه تخت</t>
        </is>
      </c>
      <c r="E328" s="4" t="inlineStr">
        <is>
          <t>Flat collar nuts form B</t>
        </is>
      </c>
      <c r="F328" s="4" t="inlineStr">
        <is>
          <t>مهره</t>
        </is>
      </c>
      <c r="G328" s="2" t="n">
        <v>3</v>
      </c>
      <c r="H328" s="4" t="inlineStr">
        <is>
          <t>DIN 74361</t>
        </is>
      </c>
      <c r="I328" s="4" t="inlineStr"/>
      <c r="J328" s="4" t="inlineStr">
        <is>
          <t>M14X1.5 – M22X1.5</t>
        </is>
      </c>
      <c r="K328" s="2" t="n">
        <v>4</v>
      </c>
      <c r="L328" s="4" t="inlineStr">
        <is>
          <t>کلاس 8، کلاس 10، پوشش فسفاته و گالوانیزه</t>
        </is>
      </c>
      <c r="M328" s="4" t="inlineStr">
        <is>
          <t>مهره مخصوص اتصال چرخ خودروهای سنگین</t>
        </is>
      </c>
      <c r="N328" s="2" t="n">
        <v>4</v>
      </c>
      <c r="O328" s="2" t="inlineStr">
        <is>
          <t>دارد</t>
        </is>
      </c>
      <c r="P328" s="2" t="inlineStr">
        <is>
          <t>دارد</t>
        </is>
      </c>
      <c r="Q328" s="2" t="inlineStr">
        <is>
          <t>دارد</t>
        </is>
      </c>
    </row>
    <row r="329">
      <c r="A329" s="2" t="n">
        <v>328</v>
      </c>
      <c r="B329" s="2" t="inlineStr">
        <is>
          <t>DIN</t>
        </is>
      </c>
      <c r="C329" s="3" t="inlineStr">
        <is>
          <t>DIN 74361 C</t>
        </is>
      </c>
      <c r="D329" s="4" t="inlineStr">
        <is>
          <t>مهره چرخ مخروطی با واشر</t>
        </is>
      </c>
      <c r="E329" s="4" t="inlineStr">
        <is>
          <t>Taper flange nuts, lock washers C (lock washers)</t>
        </is>
      </c>
      <c r="F329" s="4" t="inlineStr">
        <is>
          <t>مهره</t>
        </is>
      </c>
      <c r="G329" s="2" t="n">
        <v>3</v>
      </c>
      <c r="H329" s="4" t="inlineStr">
        <is>
          <t>DIN 74361</t>
        </is>
      </c>
      <c r="I329" s="4" t="inlineStr"/>
      <c r="J329" s="4" t="inlineStr">
        <is>
          <t>M12X1.5 – M22X1.5</t>
        </is>
      </c>
      <c r="K329" s="2" t="n">
        <v>5</v>
      </c>
      <c r="L329" s="4" t="inlineStr">
        <is>
          <t>کلاس 8، کلاس 10، پوشش فسفاته و گالوانیزه</t>
        </is>
      </c>
      <c r="M329" s="4" t="inlineStr">
        <is>
          <t>مهره مخصوص اتصال چرخ خودروهای سنگین</t>
        </is>
      </c>
      <c r="N329" s="2" t="n">
        <v>5</v>
      </c>
      <c r="O329" s="2" t="inlineStr">
        <is>
          <t>دارد</t>
        </is>
      </c>
      <c r="P329" s="2" t="inlineStr">
        <is>
          <t>دارد</t>
        </is>
      </c>
      <c r="Q329" s="2" t="inlineStr">
        <is>
          <t>دارد</t>
        </is>
      </c>
    </row>
    <row r="330">
      <c r="A330" s="2" t="n">
        <v>329</v>
      </c>
      <c r="B330" s="2" t="inlineStr">
        <is>
          <t>DIN</t>
        </is>
      </c>
      <c r="C330" s="3" t="inlineStr">
        <is>
          <t>DIN 80705</t>
        </is>
      </c>
      <c r="D330" s="4" t="inlineStr">
        <is>
          <t>مهره نازک دنده ریز آچارخور کوچک</t>
        </is>
      </c>
      <c r="E330" s="4" t="inlineStr">
        <is>
          <t>Hexagon thin nuts, fine thread, small widths across flats</t>
        </is>
      </c>
      <c r="F330" s="4" t="inlineStr">
        <is>
          <t>مهره</t>
        </is>
      </c>
      <c r="G330" s="2" t="n">
        <v>3</v>
      </c>
      <c r="H330" s="4" t="inlineStr">
        <is>
          <t>DIN 80705</t>
        </is>
      </c>
      <c r="I330" s="4" t="inlineStr"/>
      <c r="J330" s="4" t="inlineStr">
        <is>
          <t>M12X1.5 – M140X6</t>
        </is>
      </c>
      <c r="K330" s="2" t="n">
        <v>31</v>
      </c>
      <c r="L330" s="4" t="inlineStr"/>
      <c r="M330" s="4" t="inlineStr"/>
      <c r="N330" s="2" t="n">
        <v>31</v>
      </c>
      <c r="O330" s="2" t="inlineStr">
        <is>
          <t>دارد</t>
        </is>
      </c>
      <c r="P330" s="2" t="inlineStr">
        <is>
          <t>دارد</t>
        </is>
      </c>
      <c r="Q330" s="2" t="inlineStr">
        <is>
          <t>دارد</t>
        </is>
      </c>
    </row>
    <row r="331">
      <c r="A331" s="2" t="n">
        <v>330</v>
      </c>
      <c r="B331" s="2" t="inlineStr">
        <is>
          <t>ASTM</t>
        </is>
      </c>
      <c r="C331" s="3" t="inlineStr">
        <is>
          <t>ASTM A193 B7</t>
        </is>
      </c>
      <c r="D331" s="4" t="inlineStr">
        <is>
          <t>استاد بولت B7 با دو مهره 2H</t>
        </is>
      </c>
      <c r="E331" s="4" t="inlineStr">
        <is>
          <t>All-thread stud bolt (2 × A194 2H)</t>
        </is>
      </c>
      <c r="F331" s="4" t="inlineStr">
        <is>
          <t>استاد بولت فلنج ASTM</t>
        </is>
      </c>
      <c r="G331" s="2" t="inlineStr"/>
      <c r="H331" s="4" t="inlineStr">
        <is>
          <t>ASTM A193</t>
        </is>
      </c>
      <c r="I331" s="4" t="inlineStr">
        <is>
          <t>ASTM A194 2H (مهره)</t>
        </is>
      </c>
      <c r="J331" s="4" t="inlineStr">
        <is>
          <t>1/2 – 1-1/2</t>
        </is>
      </c>
      <c r="K331" s="2" t="n">
        <v>9</v>
      </c>
      <c r="L331" s="4" t="inlineStr">
        <is>
          <t>B7</t>
        </is>
      </c>
      <c r="M331" s="4" t="inlineStr"/>
      <c r="N331" s="2" t="n">
        <v>297</v>
      </c>
      <c r="O331" s="2" t="inlineStr">
        <is>
          <t>دارد</t>
        </is>
      </c>
      <c r="P331" s="2" t="inlineStr">
        <is>
          <t>دارد</t>
        </is>
      </c>
      <c r="Q331" s="2" t="inlineStr">
        <is>
          <t>دارد</t>
        </is>
      </c>
    </row>
    <row r="332">
      <c r="A332" s="2" t="n">
        <v>331</v>
      </c>
      <c r="B332" s="2" t="inlineStr">
        <is>
          <t>ASTM</t>
        </is>
      </c>
      <c r="C332" s="3" t="inlineStr">
        <is>
          <t>ASTM A193 B7M</t>
        </is>
      </c>
      <c r="D332" s="4" t="inlineStr">
        <is>
          <t>استاد بولت B7M (سرویس ترش)</t>
        </is>
      </c>
      <c r="E332" s="4" t="inlineStr">
        <is>
          <t>All-thread stud bolt (sour service)</t>
        </is>
      </c>
      <c r="F332" s="4" t="inlineStr">
        <is>
          <t>استاد بولت فلنج ASTM</t>
        </is>
      </c>
      <c r="G332" s="2" t="inlineStr"/>
      <c r="H332" s="4" t="inlineStr">
        <is>
          <t>ASTM A193</t>
        </is>
      </c>
      <c r="I332" s="4" t="inlineStr">
        <is>
          <t>NACE MR0175، ASTM A194 2HM (مهره)</t>
        </is>
      </c>
      <c r="J332" s="4" t="inlineStr">
        <is>
          <t>1/2 – 1-1/2</t>
        </is>
      </c>
      <c r="K332" s="2" t="n">
        <v>8</v>
      </c>
      <c r="L332" s="4" t="inlineStr">
        <is>
          <t>B7M</t>
        </is>
      </c>
      <c r="M332" s="4" t="inlineStr"/>
      <c r="N332" s="2" t="n">
        <v>270</v>
      </c>
      <c r="O332" s="2" t="inlineStr">
        <is>
          <t>دارد</t>
        </is>
      </c>
      <c r="P332" s="2" t="inlineStr">
        <is>
          <t>دارد</t>
        </is>
      </c>
      <c r="Q332" s="2" t="inlineStr">
        <is>
          <t>دارد</t>
        </is>
      </c>
    </row>
    <row r="333">
      <c r="A333" s="2" t="n">
        <v>332</v>
      </c>
      <c r="B333" s="2" t="inlineStr">
        <is>
          <t>ASTM</t>
        </is>
      </c>
      <c r="C333" s="3" t="inlineStr">
        <is>
          <t>ASTM A193 B8M</t>
        </is>
      </c>
      <c r="D333" s="4" t="inlineStr">
        <is>
          <t>استاد بولت استیل B8M کلاس ۱</t>
        </is>
      </c>
      <c r="E333" s="4" t="inlineStr">
        <is>
          <t>All-thread stud bolt 316</t>
        </is>
      </c>
      <c r="F333" s="4" t="inlineStr">
        <is>
          <t>استاد بولت فلنج ASTM</t>
        </is>
      </c>
      <c r="G333" s="2" t="inlineStr"/>
      <c r="H333" s="4" t="inlineStr">
        <is>
          <t>ASTM A193</t>
        </is>
      </c>
      <c r="I333" s="4" t="inlineStr">
        <is>
          <t>ASTM A194 8M (مهره)</t>
        </is>
      </c>
      <c r="J333" s="4" t="inlineStr">
        <is>
          <t>1/2 – 1</t>
        </is>
      </c>
      <c r="K333" s="2" t="n">
        <v>5</v>
      </c>
      <c r="L333" s="4" t="inlineStr">
        <is>
          <t>B8M Cl.1</t>
        </is>
      </c>
      <c r="M333" s="4" t="inlineStr"/>
      <c r="N333" s="2" t="n">
        <v>185</v>
      </c>
      <c r="O333" s="2" t="inlineStr">
        <is>
          <t>دارد</t>
        </is>
      </c>
      <c r="P333" s="2" t="inlineStr">
        <is>
          <t>دارد</t>
        </is>
      </c>
      <c r="Q333" s="2" t="inlineStr">
        <is>
          <t>دارد</t>
        </is>
      </c>
    </row>
    <row r="334">
      <c r="A334" s="2" t="n">
        <v>333</v>
      </c>
      <c r="B334" s="2" t="inlineStr">
        <is>
          <t>ASTM</t>
        </is>
      </c>
      <c r="C334" s="3" t="inlineStr">
        <is>
          <t>ASTM A194 2H</t>
        </is>
      </c>
      <c r="D334" s="4" t="inlineStr">
        <is>
          <t>مهره شش‌گوش سنگین A194 گرید 2H</t>
        </is>
      </c>
      <c r="E334" s="4" t="inlineStr">
        <is>
          <t>Heavy hex nut</t>
        </is>
      </c>
      <c r="F334" s="4" t="inlineStr">
        <is>
          <t>مهره ASTM</t>
        </is>
      </c>
      <c r="G334" s="2" t="inlineStr"/>
      <c r="H334" s="4" t="inlineStr">
        <is>
          <t>ASTM A194</t>
        </is>
      </c>
      <c r="I334" s="4" t="inlineStr">
        <is>
          <t>ASTM A194M</t>
        </is>
      </c>
      <c r="J334" s="4" t="inlineStr">
        <is>
          <t>1/2 – 2</t>
        </is>
      </c>
      <c r="K334" s="2" t="n">
        <v>11</v>
      </c>
      <c r="L334" s="4" t="inlineStr">
        <is>
          <t>2H</t>
        </is>
      </c>
      <c r="M334" s="4" t="inlineStr"/>
      <c r="N334" s="2" t="n">
        <v>11</v>
      </c>
      <c r="O334" s="2" t="inlineStr">
        <is>
          <t>دارد</t>
        </is>
      </c>
      <c r="P334" s="2" t="inlineStr">
        <is>
          <t>دارد</t>
        </is>
      </c>
      <c r="Q334" s="2" t="inlineStr">
        <is>
          <t>دارد</t>
        </is>
      </c>
    </row>
    <row r="335">
      <c r="A335" s="2" t="n">
        <v>334</v>
      </c>
      <c r="B335" s="2" t="inlineStr">
        <is>
          <t>ASTM</t>
        </is>
      </c>
      <c r="C335" s="3" t="inlineStr">
        <is>
          <t>ASTM A307 A</t>
        </is>
      </c>
      <c r="D335" s="4" t="inlineStr">
        <is>
          <t>پیچ شش‌گوش A307 گرید A</t>
        </is>
      </c>
      <c r="E335" s="4" t="inlineStr">
        <is>
          <t>Hex bolt</t>
        </is>
      </c>
      <c r="F335" s="4" t="inlineStr">
        <is>
          <t>پیچ شش‌گوش و آلن ASTM</t>
        </is>
      </c>
      <c r="G335" s="2" t="inlineStr"/>
      <c r="H335" s="4" t="inlineStr">
        <is>
          <t>ASTM A307</t>
        </is>
      </c>
      <c r="I335" s="4" t="inlineStr">
        <is>
          <t>ASTM A563 A (مهره)</t>
        </is>
      </c>
      <c r="J335" s="4" t="inlineStr">
        <is>
          <t>1/4 – 1-1/2</t>
        </is>
      </c>
      <c r="K335" s="2" t="n">
        <v>13</v>
      </c>
      <c r="L335" s="4" t="inlineStr">
        <is>
          <t>A307 A</t>
        </is>
      </c>
      <c r="M335" s="4" t="inlineStr"/>
      <c r="N335" s="2" t="n">
        <v>397</v>
      </c>
      <c r="O335" s="2" t="inlineStr">
        <is>
          <t>دارد</t>
        </is>
      </c>
      <c r="P335" s="2" t="inlineStr">
        <is>
          <t>دارد</t>
        </is>
      </c>
      <c r="Q335" s="2" t="inlineStr">
        <is>
          <t>دارد</t>
        </is>
      </c>
    </row>
    <row r="336">
      <c r="A336" s="2" t="n">
        <v>335</v>
      </c>
      <c r="B336" s="2" t="inlineStr">
        <is>
          <t>ASTM</t>
        </is>
      </c>
      <c r="C336" s="3" t="inlineStr">
        <is>
          <t>ASTM A320 L7</t>
        </is>
      </c>
      <c r="D336" s="4" t="inlineStr">
        <is>
          <t>استاد بولت دمای پایین L7</t>
        </is>
      </c>
      <c r="E336" s="4" t="inlineStr">
        <is>
          <t>All-thread stud bolt (low temp)</t>
        </is>
      </c>
      <c r="F336" s="4" t="inlineStr">
        <is>
          <t>استاد بولت فلنج ASTM</t>
        </is>
      </c>
      <c r="G336" s="2" t="inlineStr"/>
      <c r="H336" s="4" t="inlineStr">
        <is>
          <t>ASTM A320</t>
        </is>
      </c>
      <c r="I336" s="4" t="inlineStr">
        <is>
          <t>ASTM A194 7 + S3 (مهره)</t>
        </is>
      </c>
      <c r="J336" s="4" t="inlineStr">
        <is>
          <t>1/2 – 1-1/2</t>
        </is>
      </c>
      <c r="K336" s="2" t="n">
        <v>8</v>
      </c>
      <c r="L336" s="4" t="inlineStr">
        <is>
          <t>L7</t>
        </is>
      </c>
      <c r="M336" s="4" t="inlineStr"/>
      <c r="N336" s="2" t="n">
        <v>270</v>
      </c>
      <c r="O336" s="2" t="inlineStr">
        <is>
          <t>دارد</t>
        </is>
      </c>
      <c r="P336" s="2" t="inlineStr">
        <is>
          <t>دارد</t>
        </is>
      </c>
      <c r="Q336" s="2" t="inlineStr">
        <is>
          <t>دارد</t>
        </is>
      </c>
    </row>
    <row r="337">
      <c r="A337" s="2" t="n">
        <v>336</v>
      </c>
      <c r="B337" s="2" t="inlineStr">
        <is>
          <t>ASTM</t>
        </is>
      </c>
      <c r="C337" s="3" t="inlineStr">
        <is>
          <t>ASTM A449</t>
        </is>
      </c>
      <c r="D337" s="4" t="inlineStr">
        <is>
          <t>پیچ شش‌گوش پرمقاومت A449</t>
        </is>
      </c>
      <c r="E337" s="4" t="inlineStr">
        <is>
          <t>Hex cap screw / bolt</t>
        </is>
      </c>
      <c r="F337" s="4" t="inlineStr">
        <is>
          <t>پیچ شش‌گوش و آلن ASTM</t>
        </is>
      </c>
      <c r="G337" s="2" t="inlineStr"/>
      <c r="H337" s="4" t="inlineStr">
        <is>
          <t>ASTM A449</t>
        </is>
      </c>
      <c r="I337" s="4" t="inlineStr">
        <is>
          <t>ASTM A563 DH (مهره)</t>
        </is>
      </c>
      <c r="J337" s="4" t="inlineStr">
        <is>
          <t>1/4 – 1-1/2</t>
        </is>
      </c>
      <c r="K337" s="2" t="n">
        <v>13</v>
      </c>
      <c r="L337" s="4" t="inlineStr">
        <is>
          <t>A449 T1</t>
        </is>
      </c>
      <c r="M337" s="4" t="inlineStr"/>
      <c r="N337" s="2" t="n">
        <v>397</v>
      </c>
      <c r="O337" s="2" t="inlineStr">
        <is>
          <t>دارد</t>
        </is>
      </c>
      <c r="P337" s="2" t="inlineStr">
        <is>
          <t>دارد</t>
        </is>
      </c>
      <c r="Q337" s="2" t="inlineStr">
        <is>
          <t>دارد</t>
        </is>
      </c>
    </row>
    <row r="338">
      <c r="A338" s="2" t="n">
        <v>337</v>
      </c>
      <c r="B338" s="2" t="inlineStr">
        <is>
          <t>ASTM</t>
        </is>
      </c>
      <c r="C338" s="3" t="inlineStr">
        <is>
          <t>ASTM A563 A</t>
        </is>
      </c>
      <c r="D338" s="4" t="inlineStr">
        <is>
          <t>مهره شش‌گوش A563 گرید A</t>
        </is>
      </c>
      <c r="E338" s="4" t="inlineStr">
        <is>
          <t>Hex nut</t>
        </is>
      </c>
      <c r="F338" s="4" t="inlineStr">
        <is>
          <t>مهره ASTM</t>
        </is>
      </c>
      <c r="G338" s="2" t="inlineStr"/>
      <c r="H338" s="4" t="inlineStr">
        <is>
          <t>ASTM A563</t>
        </is>
      </c>
      <c r="I338" s="4" t="inlineStr">
        <is>
          <t>ASTM A563M</t>
        </is>
      </c>
      <c r="J338" s="4" t="inlineStr">
        <is>
          <t>1/4 – 1-1/2</t>
        </is>
      </c>
      <c r="K338" s="2" t="n">
        <v>14</v>
      </c>
      <c r="L338" s="4" t="inlineStr">
        <is>
          <t>A</t>
        </is>
      </c>
      <c r="M338" s="4" t="inlineStr"/>
      <c r="N338" s="2" t="n">
        <v>14</v>
      </c>
      <c r="O338" s="2" t="inlineStr">
        <is>
          <t>دارد</t>
        </is>
      </c>
      <c r="P338" s="2" t="inlineStr">
        <is>
          <t>دارد</t>
        </is>
      </c>
      <c r="Q338" s="2" t="inlineStr">
        <is>
          <t>دارد</t>
        </is>
      </c>
    </row>
    <row r="339">
      <c r="A339" s="2" t="n">
        <v>338</v>
      </c>
      <c r="B339" s="2" t="inlineStr">
        <is>
          <t>ASTM</t>
        </is>
      </c>
      <c r="C339" s="3" t="inlineStr">
        <is>
          <t>ASTM A563 DH</t>
        </is>
      </c>
      <c r="D339" s="4" t="inlineStr">
        <is>
          <t>مهره شش‌گوش سنگین A563 گرید DH</t>
        </is>
      </c>
      <c r="E339" s="4" t="inlineStr">
        <is>
          <t>Heavy hex nut</t>
        </is>
      </c>
      <c r="F339" s="4" t="inlineStr">
        <is>
          <t>مهره ASTM</t>
        </is>
      </c>
      <c r="G339" s="2" t="inlineStr"/>
      <c r="H339" s="4" t="inlineStr">
        <is>
          <t>ASTM A563</t>
        </is>
      </c>
      <c r="I339" s="4" t="inlineStr">
        <is>
          <t>ASTM A563M</t>
        </is>
      </c>
      <c r="J339" s="4" t="inlineStr">
        <is>
          <t>1/2 – 2</t>
        </is>
      </c>
      <c r="K339" s="2" t="n">
        <v>11</v>
      </c>
      <c r="L339" s="4" t="inlineStr">
        <is>
          <t>DH</t>
        </is>
      </c>
      <c r="M339" s="4" t="inlineStr"/>
      <c r="N339" s="2" t="n">
        <v>11</v>
      </c>
      <c r="O339" s="2" t="inlineStr">
        <is>
          <t>دارد</t>
        </is>
      </c>
      <c r="P339" s="2" t="inlineStr">
        <is>
          <t>دارد</t>
        </is>
      </c>
      <c r="Q339" s="2" t="inlineStr">
        <is>
          <t>دارد</t>
        </is>
      </c>
    </row>
    <row r="340">
      <c r="A340" s="2" t="n">
        <v>339</v>
      </c>
      <c r="B340" s="2" t="inlineStr">
        <is>
          <t>ASTM</t>
        </is>
      </c>
      <c r="C340" s="3" t="inlineStr">
        <is>
          <t>ASTM A574</t>
        </is>
      </c>
      <c r="D340" s="4" t="inlineStr">
        <is>
          <t>پیچ آلن سر استوانه‌ای A574</t>
        </is>
      </c>
      <c r="E340" s="4" t="inlineStr">
        <is>
          <t>Socket head cap screw</t>
        </is>
      </c>
      <c r="F340" s="4" t="inlineStr">
        <is>
          <t>پیچ شش‌گوش و آلن ASTM</t>
        </is>
      </c>
      <c r="G340" s="2" t="inlineStr"/>
      <c r="H340" s="4" t="inlineStr">
        <is>
          <t>ASTM A574</t>
        </is>
      </c>
      <c r="I340" s="4" t="inlineStr">
        <is>
          <t>ASTM A574M</t>
        </is>
      </c>
      <c r="J340" s="4" t="inlineStr">
        <is>
          <t>1/4 – 1</t>
        </is>
      </c>
      <c r="K340" s="2" t="n">
        <v>7</v>
      </c>
      <c r="L340" s="4" t="inlineStr">
        <is>
          <t>A574</t>
        </is>
      </c>
      <c r="M340" s="4" t="inlineStr"/>
      <c r="N340" s="2" t="n">
        <v>7</v>
      </c>
      <c r="O340" s="2" t="inlineStr">
        <is>
          <t>دارد</t>
        </is>
      </c>
      <c r="P340" s="2" t="inlineStr">
        <is>
          <t>دارد</t>
        </is>
      </c>
      <c r="Q340" s="2" t="inlineStr">
        <is>
          <t>دارد</t>
        </is>
      </c>
    </row>
    <row r="341">
      <c r="A341" s="2" t="n">
        <v>340</v>
      </c>
      <c r="B341" s="2" t="inlineStr">
        <is>
          <t>ASTM</t>
        </is>
      </c>
      <c r="C341" s="3" t="inlineStr">
        <is>
          <t>ASTM F1554 Gr105</t>
        </is>
      </c>
      <c r="D341" s="4" t="inlineStr">
        <is>
          <t>انکر بولت F1554 گرید 105</t>
        </is>
      </c>
      <c r="E341" s="4" t="inlineStr">
        <is>
          <t>Anchor rod</t>
        </is>
      </c>
      <c r="F341" s="4" t="inlineStr">
        <is>
          <t>انکر بولت ASTM</t>
        </is>
      </c>
      <c r="G341" s="2" t="inlineStr"/>
      <c r="H341" s="4" t="inlineStr">
        <is>
          <t>ASTM F1554 · طول پروژه‌ای</t>
        </is>
      </c>
      <c r="I341" s="4" t="inlineStr"/>
      <c r="J341" s="4" t="inlineStr">
        <is>
          <t>3/4 – 2</t>
        </is>
      </c>
      <c r="K341" s="2" t="n">
        <v>7</v>
      </c>
      <c r="L341" s="4" t="inlineStr">
        <is>
          <t>Gr 105</t>
        </is>
      </c>
      <c r="M341" s="4" t="inlineStr"/>
      <c r="N341" s="2" t="n">
        <v>7</v>
      </c>
      <c r="O341" s="2" t="inlineStr">
        <is>
          <t>دارد</t>
        </is>
      </c>
      <c r="P341" s="2" t="inlineStr">
        <is>
          <t>دارد</t>
        </is>
      </c>
      <c r="Q341" s="2" t="inlineStr">
        <is>
          <t>دارد</t>
        </is>
      </c>
    </row>
    <row r="342">
      <c r="A342" s="2" t="n">
        <v>341</v>
      </c>
      <c r="B342" s="2" t="inlineStr">
        <is>
          <t>ASTM</t>
        </is>
      </c>
      <c r="C342" s="3" t="inlineStr">
        <is>
          <t>ASTM F1554 Gr36</t>
        </is>
      </c>
      <c r="D342" s="4" t="inlineStr">
        <is>
          <t>انکر بولت F1554 گرید 36</t>
        </is>
      </c>
      <c r="E342" s="4" t="inlineStr">
        <is>
          <t>Anchor rod (headed / L / straight)</t>
        </is>
      </c>
      <c r="F342" s="4" t="inlineStr">
        <is>
          <t>انکر بولت ASTM</t>
        </is>
      </c>
      <c r="G342" s="2" t="inlineStr"/>
      <c r="H342" s="4" t="inlineStr">
        <is>
          <t>ASTM F1554 · طول پروژه‌ای</t>
        </is>
      </c>
      <c r="I342" s="4" t="inlineStr">
        <is>
          <t>A307 Gr C (قدیمی)</t>
        </is>
      </c>
      <c r="J342" s="4" t="inlineStr">
        <is>
          <t>3/4 – 2</t>
        </is>
      </c>
      <c r="K342" s="2" t="n">
        <v>7</v>
      </c>
      <c r="L342" s="4" t="inlineStr">
        <is>
          <t>Gr 36</t>
        </is>
      </c>
      <c r="M342" s="4" t="inlineStr"/>
      <c r="N342" s="2" t="n">
        <v>7</v>
      </c>
      <c r="O342" s="2" t="inlineStr">
        <is>
          <t>دارد</t>
        </is>
      </c>
      <c r="P342" s="2" t="inlineStr">
        <is>
          <t>دارد</t>
        </is>
      </c>
      <c r="Q342" s="2" t="inlineStr">
        <is>
          <t>دارد</t>
        </is>
      </c>
    </row>
    <row r="343">
      <c r="A343" s="2" t="n">
        <v>342</v>
      </c>
      <c r="B343" s="2" t="inlineStr">
        <is>
          <t>ASTM</t>
        </is>
      </c>
      <c r="C343" s="3" t="inlineStr">
        <is>
          <t>ASTM F1554 Gr55</t>
        </is>
      </c>
      <c r="D343" s="4" t="inlineStr">
        <is>
          <t>انکر بولت F1554 گرید 55</t>
        </is>
      </c>
      <c r="E343" s="4" t="inlineStr">
        <is>
          <t>Anchor rod</t>
        </is>
      </c>
      <c r="F343" s="4" t="inlineStr">
        <is>
          <t>انکر بولت ASTM</t>
        </is>
      </c>
      <c r="G343" s="2" t="inlineStr"/>
      <c r="H343" s="4" t="inlineStr">
        <is>
          <t>ASTM F1554 · طول پروژه‌ای</t>
        </is>
      </c>
      <c r="I343" s="4" t="inlineStr"/>
      <c r="J343" s="4" t="inlineStr">
        <is>
          <t>3/4 – 2</t>
        </is>
      </c>
      <c r="K343" s="2" t="n">
        <v>7</v>
      </c>
      <c r="L343" s="4" t="inlineStr">
        <is>
          <t>Gr 55</t>
        </is>
      </c>
      <c r="M343" s="4" t="inlineStr"/>
      <c r="N343" s="2" t="n">
        <v>7</v>
      </c>
      <c r="O343" s="2" t="inlineStr">
        <is>
          <t>دارد</t>
        </is>
      </c>
      <c r="P343" s="2" t="inlineStr">
        <is>
          <t>دارد</t>
        </is>
      </c>
      <c r="Q343" s="2" t="inlineStr">
        <is>
          <t>دارد</t>
        </is>
      </c>
    </row>
    <row r="344">
      <c r="A344" s="2" t="n">
        <v>343</v>
      </c>
      <c r="B344" s="2" t="inlineStr">
        <is>
          <t>ASTM</t>
        </is>
      </c>
      <c r="C344" s="3" t="inlineStr">
        <is>
          <t>ASTM F3125 A325</t>
        </is>
      </c>
      <c r="D344" s="4" t="inlineStr">
        <is>
          <t>پیچ سازه‌ای شش‌گوش سنگین A325 (نوع ۱)</t>
        </is>
      </c>
      <c r="E344" s="4" t="inlineStr">
        <is>
          <t>Heavy hex structural bolt</t>
        </is>
      </c>
      <c r="F344" s="4" t="inlineStr">
        <is>
          <t>پیچ و مهرهٔ سازه‌ای ASTM</t>
        </is>
      </c>
      <c r="G344" s="2" t="inlineStr"/>
      <c r="H344" s="4" t="inlineStr">
        <is>
          <t>ASTM F3125/F3125M</t>
        </is>
      </c>
      <c r="I344" s="4" t="inlineStr">
        <is>
          <t>ASTM A325 (قدیمی)</t>
        </is>
      </c>
      <c r="J344" s="4" t="inlineStr">
        <is>
          <t>1/2 – 1-1/2</t>
        </is>
      </c>
      <c r="K344" s="2" t="n">
        <v>9</v>
      </c>
      <c r="L344" s="4" t="inlineStr">
        <is>
          <t>A325</t>
        </is>
      </c>
      <c r="M344" s="4" t="inlineStr"/>
      <c r="N344" s="2" t="n">
        <v>185</v>
      </c>
      <c r="O344" s="2" t="inlineStr">
        <is>
          <t>دارد</t>
        </is>
      </c>
      <c r="P344" s="2" t="inlineStr">
        <is>
          <t>دارد</t>
        </is>
      </c>
      <c r="Q344" s="2" t="inlineStr">
        <is>
          <t>دارد</t>
        </is>
      </c>
    </row>
    <row r="345">
      <c r="A345" s="2" t="n">
        <v>344</v>
      </c>
      <c r="B345" s="2" t="inlineStr">
        <is>
          <t>ASTM</t>
        </is>
      </c>
      <c r="C345" s="3" t="inlineStr">
        <is>
          <t>ASTM F3125 A325 T3</t>
        </is>
      </c>
      <c r="D345" s="4" t="inlineStr">
        <is>
          <t>پیچ سازه‌ای A325 نوع ۳ (ضدهوازدگی)</t>
        </is>
      </c>
      <c r="E345" s="4" t="inlineStr">
        <is>
          <t>Heavy hex structural bolt — weathering</t>
        </is>
      </c>
      <c r="F345" s="4" t="inlineStr">
        <is>
          <t>پیچ و مهرهٔ سازه‌ای ASTM</t>
        </is>
      </c>
      <c r="G345" s="2" t="inlineStr"/>
      <c r="H345" s="4" t="inlineStr">
        <is>
          <t>ASTM F3125/F3125M</t>
        </is>
      </c>
      <c r="I345" s="4" t="inlineStr">
        <is>
          <t>ASTM A325 Type 3 (قدیمی)</t>
        </is>
      </c>
      <c r="J345" s="4" t="inlineStr">
        <is>
          <t>1/2 – 1-1/2</t>
        </is>
      </c>
      <c r="K345" s="2" t="n">
        <v>9</v>
      </c>
      <c r="L345" s="4" t="inlineStr">
        <is>
          <t>A325 T3</t>
        </is>
      </c>
      <c r="M345" s="4" t="inlineStr"/>
      <c r="N345" s="2" t="n">
        <v>185</v>
      </c>
      <c r="O345" s="2" t="inlineStr">
        <is>
          <t>دارد</t>
        </is>
      </c>
      <c r="P345" s="2" t="inlineStr">
        <is>
          <t>دارد</t>
        </is>
      </c>
      <c r="Q345" s="2" t="inlineStr">
        <is>
          <t>دارد</t>
        </is>
      </c>
    </row>
    <row r="346">
      <c r="A346" s="2" t="n">
        <v>345</v>
      </c>
      <c r="B346" s="2" t="inlineStr">
        <is>
          <t>ASTM</t>
        </is>
      </c>
      <c r="C346" s="3" t="inlineStr">
        <is>
          <t>ASTM F3125 A490</t>
        </is>
      </c>
      <c r="D346" s="4" t="inlineStr">
        <is>
          <t>پیچ سازه‌ای شش‌گوش سنگین A490</t>
        </is>
      </c>
      <c r="E346" s="4" t="inlineStr">
        <is>
          <t>Heavy hex structural bolt</t>
        </is>
      </c>
      <c r="F346" s="4" t="inlineStr">
        <is>
          <t>پیچ و مهرهٔ سازه‌ای ASTM</t>
        </is>
      </c>
      <c r="G346" s="2" t="inlineStr"/>
      <c r="H346" s="4" t="inlineStr">
        <is>
          <t>ASTM F3125/F3125M</t>
        </is>
      </c>
      <c r="I346" s="4" t="inlineStr">
        <is>
          <t>ASTM A490 (قدیمی)</t>
        </is>
      </c>
      <c r="J346" s="4" t="inlineStr">
        <is>
          <t>1/2 – 1-1/2</t>
        </is>
      </c>
      <c r="K346" s="2" t="n">
        <v>9</v>
      </c>
      <c r="L346" s="4" t="inlineStr">
        <is>
          <t>A490</t>
        </is>
      </c>
      <c r="M346" s="4" t="inlineStr"/>
      <c r="N346" s="2" t="n">
        <v>185</v>
      </c>
      <c r="O346" s="2" t="inlineStr">
        <is>
          <t>دارد</t>
        </is>
      </c>
      <c r="P346" s="2" t="inlineStr">
        <is>
          <t>دارد</t>
        </is>
      </c>
      <c r="Q346" s="2" t="inlineStr">
        <is>
          <t>دارد</t>
        </is>
      </c>
    </row>
    <row r="347">
      <c r="A347" s="2" t="n">
        <v>346</v>
      </c>
      <c r="B347" s="2" t="inlineStr">
        <is>
          <t>ASTM</t>
        </is>
      </c>
      <c r="C347" s="3" t="inlineStr">
        <is>
          <t>ASTM F3125 F1852</t>
        </is>
      </c>
      <c r="D347" s="4" t="inlineStr">
        <is>
          <t>پیچ کشش‌کنترل (TC) گرید F1852</t>
        </is>
      </c>
      <c r="E347" s="4" t="inlineStr">
        <is>
          <t>TC twist-off assembly 120 ksi</t>
        </is>
      </c>
      <c r="F347" s="4" t="inlineStr">
        <is>
          <t>پیچ و مهرهٔ سازه‌ای ASTM</t>
        </is>
      </c>
      <c r="G347" s="2" t="inlineStr"/>
      <c r="H347" s="4" t="inlineStr">
        <is>
          <t>ASTM F3125/F3125M</t>
        </is>
      </c>
      <c r="I347" s="4" t="inlineStr">
        <is>
          <t>ASTM F1852 (قدیمی)</t>
        </is>
      </c>
      <c r="J347" s="4" t="inlineStr">
        <is>
          <t>1/2 – 1-1/8</t>
        </is>
      </c>
      <c r="K347" s="2" t="n">
        <v>6</v>
      </c>
      <c r="L347" s="4" t="inlineStr">
        <is>
          <t>F1852</t>
        </is>
      </c>
      <c r="M347" s="4" t="inlineStr"/>
      <c r="N347" s="2" t="n">
        <v>129</v>
      </c>
      <c r="O347" s="2" t="inlineStr">
        <is>
          <t>دارد</t>
        </is>
      </c>
      <c r="P347" s="2" t="inlineStr">
        <is>
          <t>دارد</t>
        </is>
      </c>
      <c r="Q347" s="2" t="inlineStr">
        <is>
          <t>دارد</t>
        </is>
      </c>
    </row>
    <row r="348">
      <c r="A348" s="2" t="n">
        <v>347</v>
      </c>
      <c r="B348" s="2" t="inlineStr">
        <is>
          <t>ASTM</t>
        </is>
      </c>
      <c r="C348" s="3" t="inlineStr">
        <is>
          <t>ASTM F3125 F2280</t>
        </is>
      </c>
      <c r="D348" s="4" t="inlineStr">
        <is>
          <t>پیچ کشش‌کنترل (TC) گرید F2280</t>
        </is>
      </c>
      <c r="E348" s="4" t="inlineStr">
        <is>
          <t>TC twist-off assembly 150 ksi</t>
        </is>
      </c>
      <c r="F348" s="4" t="inlineStr">
        <is>
          <t>پیچ و مهرهٔ سازه‌ای ASTM</t>
        </is>
      </c>
      <c r="G348" s="2" t="inlineStr"/>
      <c r="H348" s="4" t="inlineStr">
        <is>
          <t>ASTM F3125/F3125M</t>
        </is>
      </c>
      <c r="I348" s="4" t="inlineStr">
        <is>
          <t>ASTM F2280 (قدیمی)</t>
        </is>
      </c>
      <c r="J348" s="4" t="inlineStr">
        <is>
          <t>3/4 – 1-1/8</t>
        </is>
      </c>
      <c r="K348" s="2" t="n">
        <v>4</v>
      </c>
      <c r="L348" s="4" t="inlineStr">
        <is>
          <t>F2280</t>
        </is>
      </c>
      <c r="M348" s="4" t="inlineStr"/>
      <c r="N348" s="2" t="n">
        <v>84</v>
      </c>
      <c r="O348" s="2" t="inlineStr">
        <is>
          <t>دارد</t>
        </is>
      </c>
      <c r="P348" s="2" t="inlineStr">
        <is>
          <t>دارد</t>
        </is>
      </c>
      <c r="Q348" s="2" t="inlineStr">
        <is>
          <t>دارد</t>
        </is>
      </c>
    </row>
    <row r="349">
      <c r="A349" s="2" t="n">
        <v>348</v>
      </c>
      <c r="B349" s="2" t="inlineStr">
        <is>
          <t>ASTM</t>
        </is>
      </c>
      <c r="C349" s="3" t="inlineStr">
        <is>
          <t>ASTM F436</t>
        </is>
      </c>
      <c r="D349" s="4" t="inlineStr">
        <is>
          <t>واشر سخت‌کاری‌شده F436 (نوع ۱)</t>
        </is>
      </c>
      <c r="E349" s="4" t="inlineStr">
        <is>
          <t>Hardened round washer</t>
        </is>
      </c>
      <c r="F349" s="4" t="inlineStr">
        <is>
          <t>واشر سازه‌ای ASTM</t>
        </is>
      </c>
      <c r="G349" s="2" t="inlineStr"/>
      <c r="H349" s="4" t="inlineStr">
        <is>
          <t>ASTM F436</t>
        </is>
      </c>
      <c r="I349" s="4" t="inlineStr">
        <is>
          <t>ASTM F436M</t>
        </is>
      </c>
      <c r="J349" s="4" t="inlineStr">
        <is>
          <t>1/2 – 1-1/2</t>
        </is>
      </c>
      <c r="K349" s="2" t="n">
        <v>9</v>
      </c>
      <c r="L349" s="4" t="inlineStr">
        <is>
          <t>F436 T1</t>
        </is>
      </c>
      <c r="M349" s="4" t="inlineStr"/>
      <c r="N349" s="2" t="n">
        <v>9</v>
      </c>
      <c r="O349" s="2" t="inlineStr">
        <is>
          <t>دارد</t>
        </is>
      </c>
      <c r="P349" s="2" t="inlineStr">
        <is>
          <t>دارد</t>
        </is>
      </c>
      <c r="Q349" s="2" t="inlineStr">
        <is>
          <t>دارد</t>
        </is>
      </c>
    </row>
    <row r="350">
      <c r="A350" s="2" t="n">
        <v>349</v>
      </c>
      <c r="B350" s="2" t="inlineStr">
        <is>
          <t>ASTM</t>
        </is>
      </c>
      <c r="C350" s="3" t="inlineStr">
        <is>
          <t>ASTM F593</t>
        </is>
      </c>
      <c r="D350" s="4" t="inlineStr">
        <is>
          <t>پیچ شش‌گوش استیل F593 (304)</t>
        </is>
      </c>
      <c r="E350" s="4" t="inlineStr">
        <is>
          <t>Stainless hex bolt</t>
        </is>
      </c>
      <c r="F350" s="4" t="inlineStr">
        <is>
          <t>پیچ شش‌گوش و آلن ASTM</t>
        </is>
      </c>
      <c r="G350" s="2" t="inlineStr"/>
      <c r="H350" s="4" t="inlineStr">
        <is>
          <t>ASTM F593</t>
        </is>
      </c>
      <c r="I350" s="4" t="inlineStr">
        <is>
          <t>ASTM F594 (مهره)</t>
        </is>
      </c>
      <c r="J350" s="4" t="inlineStr">
        <is>
          <t>1/4 – 1</t>
        </is>
      </c>
      <c r="K350" s="2" t="n">
        <v>7</v>
      </c>
      <c r="L350" s="4" t="inlineStr">
        <is>
          <t>F593 304</t>
        </is>
      </c>
      <c r="M350" s="4" t="inlineStr"/>
      <c r="N350" s="2" t="n">
        <v>228</v>
      </c>
      <c r="O350" s="2" t="inlineStr">
        <is>
          <t>دارد</t>
        </is>
      </c>
      <c r="P350" s="2" t="inlineStr">
        <is>
          <t>دارد</t>
        </is>
      </c>
      <c r="Q350" s="2" t="inlineStr">
        <is>
          <t>دارد</t>
        </is>
      </c>
    </row>
    <row r="351">
      <c r="A351" s="2" t="n">
        <v>350</v>
      </c>
      <c r="B351" s="2" t="inlineStr">
        <is>
          <t>ASTM</t>
        </is>
      </c>
      <c r="C351" s="3" t="inlineStr">
        <is>
          <t>ASTM F959</t>
        </is>
      </c>
      <c r="D351" s="4" t="inlineStr">
        <is>
          <t>واشر نشانگر کشش (DTI) F959</t>
        </is>
      </c>
      <c r="E351" s="4" t="inlineStr">
        <is>
          <t>Direct tension indicator</t>
        </is>
      </c>
      <c r="F351" s="4" t="inlineStr">
        <is>
          <t>واشر سازه‌ای ASTM</t>
        </is>
      </c>
      <c r="G351" s="2" t="inlineStr"/>
      <c r="H351" s="4" t="inlineStr">
        <is>
          <t>ASTM F959</t>
        </is>
      </c>
      <c r="I351" s="4" t="inlineStr">
        <is>
          <t>ASTM F959M</t>
        </is>
      </c>
      <c r="J351" s="4" t="inlineStr">
        <is>
          <t>1/2 – 1-1/2</t>
        </is>
      </c>
      <c r="K351" s="2" t="n">
        <v>9</v>
      </c>
      <c r="L351" s="4" t="inlineStr">
        <is>
          <t>F959 T120</t>
        </is>
      </c>
      <c r="M351" s="4" t="inlineStr"/>
      <c r="N351" s="2" t="n">
        <v>9</v>
      </c>
      <c r="O351" s="2" t="inlineStr">
        <is>
          <t>دارد</t>
        </is>
      </c>
      <c r="P351" s="2" t="inlineStr">
        <is>
          <t>دارد</t>
        </is>
      </c>
      <c r="Q351" s="2" t="inlineStr">
        <is>
          <t>دارد</t>
        </is>
      </c>
    </row>
  </sheetData>
  <autoFilter ref="A1:Q3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5" t="inlineStr">
        <is>
          <t>خلاصهٔ استانداردهای مخزن</t>
        </is>
      </c>
    </row>
    <row r="3">
      <c r="A3" s="6" t="inlineStr">
        <is>
          <t>کل استانداردها</t>
        </is>
      </c>
      <c r="B3" s="7">
        <f>COUNTA('فهرست استانداردها'!C2:C351)</f>
        <v/>
      </c>
    </row>
    <row r="4">
      <c r="A4" s="6" t="inlineStr">
        <is>
          <t>DIN</t>
        </is>
      </c>
      <c r="B4" s="7">
        <f>COUNTIF('فهرست استانداردها'!B2:B351,"DIN")</f>
        <v/>
      </c>
    </row>
    <row r="5">
      <c r="A5" s="6" t="inlineStr">
        <is>
          <t>ASTM</t>
        </is>
      </c>
      <c r="B5" s="7">
        <f>COUNTIF('فهرست استانداردها'!B2:B351,"ASTM")</f>
        <v/>
      </c>
    </row>
    <row r="6">
      <c r="A6" s="6" t="inlineStr">
        <is>
          <t>اولویت ۱ (DIN)</t>
        </is>
      </c>
      <c r="B6" s="7">
        <f>COUNTIF('فهرست استانداردها'!G2:G351,1)</f>
        <v/>
      </c>
    </row>
    <row r="7">
      <c r="A7" s="6" t="inlineStr">
        <is>
          <t>اولویت ۲ (DIN)</t>
        </is>
      </c>
      <c r="B7" s="7">
        <f>COUNTIF('فهرست استانداردها'!G2:G351,2)</f>
        <v/>
      </c>
    </row>
    <row r="8">
      <c r="A8" s="6" t="inlineStr">
        <is>
          <t>اولویت ۳ (DIN)</t>
        </is>
      </c>
      <c r="B8" s="7">
        <f>COUNTIF('فهرست استانداردها'!G2:G351,3)</f>
        <v/>
      </c>
    </row>
    <row r="9">
      <c r="A9" s="6" t="inlineStr">
        <is>
          <t>بدون عکس محصول</t>
        </is>
      </c>
      <c r="B9" s="7">
        <f>COUNTIF('فهرست استانداردها'!O2:O351,"—")</f>
        <v/>
      </c>
    </row>
    <row r="10">
      <c r="A10" s="6" t="inlineStr">
        <is>
          <t>جمع کالاهای کددار</t>
        </is>
      </c>
      <c r="B10" s="7">
        <f>SUM('فهرست استانداردها'!N2:N351)</f>
        <v/>
      </c>
    </row>
    <row r="12">
      <c r="A12" s="8" t="inlineStr">
        <is>
          <t>تعداد به تفکیک دسته</t>
        </is>
      </c>
    </row>
    <row r="13">
      <c r="A13" s="6" t="inlineStr">
        <is>
          <t>پین</t>
        </is>
      </c>
      <c r="B13" s="6">
        <f>COUNTIF('فهرست استانداردها'!F2:F351,A13)</f>
        <v/>
      </c>
    </row>
    <row r="14">
      <c r="A14" s="6" t="inlineStr">
        <is>
          <t>سایر اتصالات و یراق</t>
        </is>
      </c>
      <c r="B14" s="6">
        <f>COUNTIF('فهرست استانداردها'!F2:F351,A14)</f>
        <v/>
      </c>
    </row>
    <row r="15">
      <c r="A15" s="6" t="inlineStr">
        <is>
          <t>پیچ دوسو و چهارسو</t>
        </is>
      </c>
      <c r="B15" s="6">
        <f>COUNTIF('فهرست استانداردها'!F2:F351,A15)</f>
        <v/>
      </c>
    </row>
    <row r="16">
      <c r="A16" s="6" t="inlineStr">
        <is>
          <t>واشر</t>
        </is>
      </c>
      <c r="B16" s="6">
        <f>COUNTIF('فهرست استانداردها'!F2:F351,A16)</f>
        <v/>
      </c>
    </row>
    <row r="17">
      <c r="A17" s="6" t="inlineStr">
        <is>
          <t>پیچ خودکار، سرمته و چوب</t>
        </is>
      </c>
      <c r="B17" s="6">
        <f>COUNTIF('فهرست استانداردها'!F2:F351,A17)</f>
        <v/>
      </c>
    </row>
    <row r="18">
      <c r="A18" s="6" t="inlineStr">
        <is>
          <t>پیچ سرخاص و کالسکه</t>
        </is>
      </c>
      <c r="B18" s="6">
        <f>COUNTIF('فهرست استانداردها'!F2:F351,A18)</f>
        <v/>
      </c>
    </row>
    <row r="19">
      <c r="A19" s="6" t="inlineStr">
        <is>
          <t>مهره</t>
        </is>
      </c>
      <c r="B19" s="6">
        <f>COUNTIF('فهرست استانداردها'!F2:F351,A19)</f>
        <v/>
      </c>
    </row>
    <row r="20">
      <c r="A20" s="6" t="inlineStr">
        <is>
          <t>پیچ مغزی</t>
        </is>
      </c>
      <c r="B20" s="6">
        <f>COUNTIF('فهرست استانداردها'!F2:F351,A20)</f>
        <v/>
      </c>
    </row>
    <row r="21">
      <c r="A21" s="6" t="inlineStr">
        <is>
          <t>اتصالات بالابری و مهارکش</t>
        </is>
      </c>
      <c r="B21" s="6">
        <f>COUNTIF('فهرست استانداردها'!F2:F351,A21)</f>
        <v/>
      </c>
    </row>
    <row r="22">
      <c r="A22" s="6" t="inlineStr">
        <is>
          <t>خار</t>
        </is>
      </c>
      <c r="B22" s="6">
        <f>COUNTIF('فهرست استانداردها'!F2:F351,A22)</f>
        <v/>
      </c>
    </row>
    <row r="23">
      <c r="A23" s="6" t="inlineStr">
        <is>
          <t>استاد بولت و میل‌رزوه</t>
        </is>
      </c>
      <c r="B23" s="6">
        <f>COUNTIF('فهرست استانداردها'!F2:F351,A23)</f>
        <v/>
      </c>
    </row>
    <row r="24">
      <c r="A24" s="6" t="inlineStr">
        <is>
          <t>پیچ شش‌گوش</t>
        </is>
      </c>
      <c r="B24" s="6">
        <f>COUNTIF('فهرست استانداردها'!F2:F351,A24)</f>
        <v/>
      </c>
    </row>
    <row r="25">
      <c r="A25" s="6" t="inlineStr">
        <is>
          <t>پرچ</t>
        </is>
      </c>
      <c r="B25" s="6">
        <f>COUNTIF('فهرست استانداردها'!F2:F351,A25)</f>
        <v/>
      </c>
    </row>
    <row r="26">
      <c r="A26" s="6" t="inlineStr">
        <is>
          <t>پیچ آلن و تورکس</t>
        </is>
      </c>
      <c r="B26" s="6">
        <f>COUNTIF('فهرست استانداردها'!F2:F351,A26)</f>
        <v/>
      </c>
    </row>
    <row r="27">
      <c r="A27" s="6" t="inlineStr">
        <is>
          <t>مهره قفلی</t>
        </is>
      </c>
      <c r="B27" s="6">
        <f>COUNTIF('فهرست استانداردها'!F2:F351,A27)</f>
        <v/>
      </c>
    </row>
    <row r="28">
      <c r="A28" s="6" t="inlineStr">
        <is>
          <t>استاد بولت فلنج ASTM</t>
        </is>
      </c>
      <c r="B28" s="6">
        <f>COUNTIF('فهرست استانداردها'!F2:F351,A28)</f>
        <v/>
      </c>
    </row>
    <row r="29">
      <c r="A29" s="6" t="inlineStr">
        <is>
          <t>مهره ASTM</t>
        </is>
      </c>
      <c r="B29" s="6">
        <f>COUNTIF('فهرست استانداردها'!F2:F351,A29)</f>
        <v/>
      </c>
    </row>
    <row r="30">
      <c r="A30" s="6" t="inlineStr">
        <is>
          <t>پیچ شش‌گوش و آلن ASTM</t>
        </is>
      </c>
      <c r="B30" s="6">
        <f>COUNTIF('فهرست استانداردها'!F2:F351,A30)</f>
        <v/>
      </c>
    </row>
    <row r="31">
      <c r="A31" s="6" t="inlineStr">
        <is>
          <t>انکر بولت ASTM</t>
        </is>
      </c>
      <c r="B31" s="6">
        <f>COUNTIF('فهرست استانداردها'!F2:F351,A31)</f>
        <v/>
      </c>
    </row>
    <row r="32">
      <c r="A32" s="6" t="inlineStr">
        <is>
          <t>پیچ و مهرهٔ سازه‌ای ASTM</t>
        </is>
      </c>
      <c r="B32" s="6">
        <f>COUNTIF('فهرست استانداردها'!F2:F351,A32)</f>
        <v/>
      </c>
    </row>
    <row r="33">
      <c r="A33" s="6" t="inlineStr">
        <is>
          <t>واشر سازه‌ای ASTM</t>
        </is>
      </c>
      <c r="B33" s="6">
        <f>COUNTIF('فهرست استانداردها'!F2:F351,A33)</f>
        <v/>
      </c>
    </row>
    <row r="35">
      <c r="A35" s="9" t="inlineStr">
        <is>
          <t>منبع: دادهٔ نسخهٔ آخر پروتوتایپ کارما (پس از اعمال فایل اصلاحات). اولویت‌ها از فهرست DIN_P و فقط برای استفادهٔ داخلی است.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2026-10-18T15:39:11Z</dcterms:created>
  <dcterms:modified xmlns:dcterms="http://purl.org/dc/terms/" xmlns:xsi="http://www.w3.org/2001/XMLSchema-instance" xsi:type="dcterms:W3CDTF">2026-10-18T15:46:21Z</dcterms:modified>
</cp:coreProperties>
</file>